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a270d0739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c9f0db3cab4797"/>
    <x:sheet xmlns:r="http://schemas.openxmlformats.org/officeDocument/2006/relationships" name="User Stories" sheetId="2" r:id="Rbb04460c5c7e4649"/>
    <x:sheet xmlns:r="http://schemas.openxmlformats.org/officeDocument/2006/relationships" name="Issue Log" sheetId="3" r:id="Rb7eaa567d011418e"/>
    <x:sheet xmlns:r="http://schemas.openxmlformats.org/officeDocument/2006/relationships" name="Source Inventory" sheetId="4" r:id="Re4468b9e73084463"/>
    <x:sheet xmlns:r="http://schemas.openxmlformats.org/officeDocument/2006/relationships" name="Post Catalog" sheetId="5" r:id="Rd4cfabb7d68f46ad"/>
    <x:sheet xmlns:r="http://schemas.openxmlformats.org/officeDocument/2006/relationships" name="Project Catalog" sheetId="6" r:id="Rbfcc4b0393fc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0251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51A"/>
      </x:patternFill>
    </x:fill>
    <x:fill>
      <x:patternFill patternType="solid">
        <x:fgColor rgb="FFDFF3E5"/>
      </x:patternFill>
    </x:fill>
    <x:fill>
      <x:patternFill patternType="solid">
        <x:fgColor rgb="FF1F4B35"/>
      </x:patternFill>
    </x:fill>
    <x:fill>
      <x:patternFill patternType="solid">
        <x:fgColor rgb="FFF7FBF8"/>
      </x:patternFill>
    </x:fill>
  </x:fills>
  <x:borders count="5">
    <x:border/>
    <x:border>
      <x:top style="thin">
        <x:color rgb="FFAFCDBA"/>
      </x:top>
      <x:bottom style="thin">
        <x:color rgb="FFD7E8DC"/>
      </x:bottom>
    </x:border>
    <x:border>
      <x:top style="thin">
        <x:color rgb="FFD7E8DC"/>
      </x:top>
      <x:bottom style="thin">
        <x:color rgb="FFD7E8DC"/>
      </x:bottom>
    </x:border>
    <x:border>
      <x:top style="thin">
        <x:color rgb="FFD7E8DC"/>
      </x:top>
      <x:bottom style="thin">
        <x:color rgb="FFAFCDBA"/>
      </x:bottom>
    </x:border>
    <x:border>
      <x:top style="thin">
        <x:color rgb="FFAFCDBA"/>
      </x:top>
      <x:bottom style="thin">
        <x:color rgb="FFAFCDBA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200" fontId="2" fillId="5" borderId="1" xfId="0" applyNumberFormat="1" applyFont="1" applyFill="1" applyBorder="1" applyAlignment="1">
      <x:alignment vertical="top" wrapText="1"/>
    </x:xf>
    <x:xf numFmtId="200" fontId="2" fillId="5" borderId="2" xfId="0" applyNumberFormat="1" applyFont="1" applyFill="1" applyBorder="1" applyAlignment="1">
      <x:alignment vertical="top" wrapText="1"/>
    </x:xf>
    <x:xf numFmtId="200" fontId="2" fillId="5" borderId="3" xfId="0" applyNumberFormat="1" applyFont="1" applyFill="1" applyBorder="1" applyAlignment="1">
      <x:alignment vertical="top" wrapText="1"/>
    </x:xf>
    <x:xf numFmtId="0" fontId="2" fillId="5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46346e5c5c42c4" /><Relationship Type="http://schemas.openxmlformats.org/officeDocument/2006/relationships/theme" Target="/xl/theme/theme1.xml" Id="R3ea9e43cdd1649e8" /><Relationship Type="http://schemas.openxmlformats.org/officeDocument/2006/relationships/sharedStrings" Target="/xl/sharedStrings.xml" Id="Rec754983e1684369" /><Relationship Type="http://schemas.openxmlformats.org/officeDocument/2006/relationships/worksheet" Target="/xl/worksheets/sheet1.xml" Id="Re3c9f0db3cab4797" /><Relationship Type="http://schemas.openxmlformats.org/officeDocument/2006/relationships/worksheet" Target="/xl/worksheets/sheet2.xml" Id="Rbb04460c5c7e4649" /><Relationship Type="http://schemas.openxmlformats.org/officeDocument/2006/relationships/worksheet" Target="/xl/worksheets/sheet3.xml" Id="Rb7eaa567d011418e" /><Relationship Type="http://schemas.openxmlformats.org/officeDocument/2006/relationships/worksheet" Target="/xl/worksheets/sheet4.xml" Id="Re4468b9e73084463" /><Relationship Type="http://schemas.openxmlformats.org/officeDocument/2006/relationships/worksheet" Target="/xl/worksheets/sheet5.xml" Id="Rd4cfabb7d68f46ad" /><Relationship Type="http://schemas.openxmlformats.org/officeDocument/2006/relationships/worksheet" Target="/xl/worksheets/sheet6.xml" Id="Rbfcc4b0393fc41b3" /></Relationships>
</file>

<file path=xl/tables/table1.xml><?xml version="1.0" encoding="utf-8"?>
<x:table xmlns:x="http://schemas.openxmlformats.org/spreadsheetml/2006/main" id="1" name="UserStoriesTable" displayName="UserStoriesTable" ref="A5:O45" headerRowCount="1">
  <x:tableColumns count="15">
    <x:tableColumn id="1" name="Story ID"/>
    <x:tableColumn id="2" name="Area"/>
    <x:tableColumn id="3" name="Feature"/>
    <x:tableColumn id="4" name="User Story"/>
    <x:tableColumn id="5" name="Expected Behavior"/>
    <x:tableColumn id="6" name="Source Evidence"/>
    <x:tableColumn id="7" name="Priority"/>
    <x:tableColumn id="8" name="Story Status"/>
    <x:tableColumn id="9" name="Initial Test Status"/>
    <x:tableColumn id="10" name="Error Summary"/>
    <x:tableColumn id="11" name="Fix Status"/>
    <x:tableColumn id="12" name="Retest Status"/>
    <x:tableColumn id="13" name="Last Verified"/>
    <x:tableColumn id="14" name="Test Notes"/>
    <x:tableColumn id="15" name="Automation Candidate"/>
  </x:tableColumns>
  <x:tableStyleInfo name="TableStyleMedium2" showRowStripes="1"/>
</x:table>
</file>

<file path=xl/tables/table2.xml><?xml version="1.0" encoding="utf-8"?>
<x:table xmlns:x="http://schemas.openxmlformats.org/spreadsheetml/2006/main" id="2" name="IssueLogTable" displayName="IssueLogTable" ref="A4:G5" headerRowCount="1">
  <x:tableColumns count="7">
    <x:tableColumn id="1" name="Issue ID"/>
    <x:tableColumn id="2" name="Story ID"/>
    <x:tableColumn id="3" name="Status"/>
    <x:tableColumn id="4" name="Severity"/>
    <x:tableColumn id="5" name="Error / Observation"/>
    <x:tableColumn id="6" name="Fix Applied"/>
    <x:tableColumn id="7" name="Ver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SourceInventoryTable" displayName="SourceInventoryTable" ref="A4:E17" headerRowCount="1">
  <x:tableColumns count="5">
    <x:tableColumn id="1" name="Type"/>
    <x:tableColumn id="2" name="Name"/>
    <x:tableColumn id="3" name="Expected Behavior"/>
    <x:tableColumn id="4" name="Source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PostCatalogTable" displayName="PostCatalogTable" ref="A4:F30" headerRowCount="1">
  <x:tableColumns count="6">
    <x:tableColumn id="1" name="Slug"/>
    <x:tableColumn id="2" name="Title"/>
    <x:tableColumn id="3" name="Date"/>
    <x:tableColumn id="4" name="Tags"/>
    <x:tableColumn id="5" name="Social Image"/>
    <x:tableColumn id="6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ProjectCatalogTable" displayName="ProjectCatalogTable" ref="A4:G24" headerRowCount="1">
  <x:tableColumns count="7">
    <x:tableColumn id="1" name="Section"/>
    <x:tableColumn id="2" name="Name"/>
    <x:tableColumn id="3" name="Kind"/>
    <x:tableColumn id="4" name="Href"/>
    <x:tableColumn id="5" name="CTA"/>
    <x:tableColumn id="6" name="Tags"/>
    <x:tableColumn id="7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8fd775180c4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12ca282cf445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9355d9bb6840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e2e805c36f4d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22d86dc90949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4" max="4" width="24" hidden="0" customWidth="1"/>
    <x:col min="5" max="5" width="12" hidden="0" customWidth="1"/>
  </x:cols>
  <x:sheetData>
    <x:row r="1" ht="19.200000762939453" hidden="0" customHeight="1">
      <x:c r="A1" s="4" t="str">
        <x:v>Jorgeasaurus Feature Status</x:v>
      </x:c>
      <x:c r="B1" s="4" t="str">
        <x:v>Jorgeasaurus Feature Status</x:v>
      </x:c>
      <x:c r="C1" s="4" t="str">
        <x:v>Jorgeasaurus Feature Status</x:v>
      </x:c>
      <x:c r="D1" s="4" t="str">
        <x:v>Jorgeasaurus Feature Status</x:v>
      </x:c>
      <x:c r="E1" s="4" t="str">
        <x:v>Jorgeasaurus Feature Status</x:v>
      </x:c>
      <x:c r="F1" s="4" t="str">
        <x:v>Jorgeasaurus Feature Status</x:v>
      </x:c>
    </x:row>
    <x:row r="2" ht="15" hidden="0" customHeight="1">
      <x:c r="A2" s="9" t="str">
        <x:v>Canonical tracker for feature stories, expected behavior, testing status, errors, fixes, and retest state.</x:v>
      </x:c>
      <x:c r="B2" s="9" t="str">
        <x:v>Canonical tracker for feature stories, expected behavior, testing status, errors, fixes, and retest state.</x:v>
      </x:c>
      <x:c r="C2" s="9" t="str">
        <x:v>Canonical tracker for feature stories, expected behavior, testing status, errors, fixes, and retest state.</x:v>
      </x:c>
      <x:c r="D2" s="9" t="str">
        <x:v>Canonical tracker for feature stories, expected behavior, testing status, errors, fixes, and retest state.</x:v>
      </x:c>
      <x:c r="E2" s="9" t="str">
        <x:v>Canonical tracker for feature stories, expected behavior, testing status, errors, fixes, and retest state.</x:v>
      </x:c>
      <x:c r="F2" s="9" t="str">
        <x:v>Canonical tracker for feature stories, expected behavior, testing status, errors, fixes, and retest state.</x:v>
      </x:c>
    </x:row>
    <x:row r="3"/>
    <x:row r="4" ht="15" hidden="0" customHeight="1">
      <x:c r="A4" s="14" t="str">
        <x:v>Metric</x:v>
      </x:c>
      <x:c r="B4" s="14" t="str">
        <x:v>Value</x:v>
      </x:c>
      <x:c r="D4" s="14" t="str">
        <x:v>Area</x:v>
      </x:c>
      <x:c r="E4" s="14" t="str">
        <x:v>Stories</x:v>
      </x:c>
    </x:row>
    <x:row r="5" ht="15" hidden="0" customHeight="1">
      <x:c r="A5" s="23" t="str">
        <x:v>Total user stories</x:v>
      </x:c>
      <x:c r="B5" s="23" t="n">
        <x:f>COUNTA('User Stories'!A6:A45)</x:f>
        <x:v>40</x:v>
      </x:c>
      <x:c r="D5" s="23" t="str">
        <x:v>About</x:v>
      </x:c>
      <x:c r="E5" s="23" t="n">
        <x:f>COUNTIF('User Stories'!B6:B45,D5)</x:f>
        <x:v>1</x:v>
      </x:c>
    </x:row>
    <x:row r="6" ht="15" hidden="0" customHeight="1">
      <x:c r="A6" s="24" t="str">
        <x:v>Ready for Test</x:v>
      </x:c>
      <x:c r="B6" s="24" t="n">
        <x:f>COUNTIF('User Stories'!H6:H45,A6)</x:f>
        <x:v>0</x:v>
      </x:c>
      <x:c r="D6" s="24" t="str">
        <x:v>Accessibility</x:v>
      </x:c>
      <x:c r="E6" s="24" t="n">
        <x:f>COUNTIF('User Stories'!B6:B45,D6)</x:f>
        <x:v>1</x:v>
      </x:c>
    </x:row>
    <x:row r="7" ht="15" hidden="0" customHeight="1">
      <x:c r="A7" s="24" t="str">
        <x:v>Testing</x:v>
      </x:c>
      <x:c r="B7" s="24" t="n">
        <x:f>COUNTIF('User Stories'!H6:H45,A7)</x:f>
        <x:v>0</x:v>
      </x:c>
      <x:c r="D7" s="24" t="str">
        <x:v>Analytics</x:v>
      </x:c>
      <x:c r="E7" s="24" t="n">
        <x:f>COUNTIF('User Stories'!B6:B45,D7)</x:f>
        <x:v>1</x:v>
      </x:c>
    </x:row>
    <x:row r="8" ht="15" hidden="0" customHeight="1">
      <x:c r="A8" s="24" t="str">
        <x:v>Tested</x:v>
      </x:c>
      <x:c r="B8" s="24" t="n">
        <x:f>COUNTIF('User Stories'!H6:H45,A8)</x:f>
        <x:v>0</x:v>
      </x:c>
      <x:c r="D8" s="24" t="str">
        <x:v>Blog Posts</x:v>
      </x:c>
      <x:c r="E8" s="24" t="n">
        <x:f>COUNTIF('User Stories'!B6:B45,D8)</x:f>
        <x:v>8</x:v>
      </x:c>
    </x:row>
    <x:row r="9" ht="15" hidden="0" customHeight="1">
      <x:c r="A9" s="24" t="str">
        <x:v>Error Found</x:v>
      </x:c>
      <x:c r="B9" s="24" t="n">
        <x:f>COUNTIF('User Stories'!H6:H45,A9)</x:f>
        <x:v>0</x:v>
      </x:c>
      <x:c r="D9" s="24" t="str">
        <x:v>Build</x:v>
      </x:c>
      <x:c r="E9" s="24" t="n">
        <x:f>COUNTIF('User Stories'!B6:B45,D9)</x:f>
        <x:v>1</x:v>
      </x:c>
    </x:row>
    <x:row r="10" ht="15" hidden="0" customHeight="1">
      <x:c r="A10" s="24" t="str">
        <x:v>Fixed</x:v>
      </x:c>
      <x:c r="B10" s="24" t="n">
        <x:f>COUNTIF('User Stories'!H6:H45,A10)</x:f>
        <x:v>0</x:v>
      </x:c>
      <x:c r="D10" s="24" t="str">
        <x:v>Content Integrity</x:v>
      </x:c>
      <x:c r="E10" s="24" t="n">
        <x:f>COUNTIF('User Stories'!B6:B45,D10)</x:f>
        <x:v>1</x:v>
      </x:c>
    </x:row>
    <x:row r="11" ht="15" hidden="0" customHeight="1">
      <x:c r="A11" s="24" t="str">
        <x:v>Retest Passed</x:v>
      </x:c>
      <x:c r="B11" s="24" t="n">
        <x:f>COUNTIF('User Stories'!H6:H45,A11)</x:f>
        <x:v>40</x:v>
      </x:c>
      <x:c r="D11" s="24" t="str">
        <x:v>Data Formatting</x:v>
      </x:c>
      <x:c r="E11" s="24" t="n">
        <x:f>COUNTIF('User Stories'!B6:B45,D11)</x:f>
        <x:v>1</x:v>
      </x:c>
    </x:row>
    <x:row r="12" ht="15" hidden="0" customHeight="1">
      <x:c r="A12" s="25" t="str">
        <x:v>Won't Fix</x:v>
      </x:c>
      <x:c r="B12" s="25" t="n">
        <x:f>COUNTIF('User Stories'!H6:H45,A12)</x:f>
        <x:v>0</x:v>
      </x:c>
      <x:c r="D12" s="24" t="str">
        <x:v>Homepage</x:v>
      </x:c>
      <x:c r="E12" s="24" t="n">
        <x:f>COUNTIF('User Stories'!B6:B45,D12)</x:f>
        <x:v>5</x:v>
      </x:c>
    </x:row>
    <x:row r="13" ht="15" hidden="0" customHeight="1">
      <x:c r="D13" s="24" t="str">
        <x:v>Images</x:v>
      </x:c>
      <x:c r="E13" s="24" t="n">
        <x:f>COUNTIF('User Stories'!B6:B45,D13)</x:f>
        <x:v>3</x:v>
      </x:c>
    </x:row>
    <x:row r="14" ht="15" hidden="0" customHeight="1">
      <x:c r="D14" s="24" t="str">
        <x:v>Navigation</x:v>
      </x:c>
      <x:c r="E14" s="24" t="n">
        <x:f>COUNTIF('User Stories'!B6:B45,D14)</x:f>
        <x:v>2</x:v>
      </x:c>
    </x:row>
    <x:row r="15" ht="15" hidden="0" customHeight="1">
      <x:c r="A15" s="14" t="str">
        <x:v>Source Data</x:v>
      </x:c>
      <x:c r="B15" s="14" t="str">
        <x:v>Count</x:v>
      </x:c>
      <x:c r="D15" s="24" t="str">
        <x:v>Projects</x:v>
      </x:c>
      <x:c r="E15" s="24" t="n">
        <x:f>COUNTIF('User Stories'!B6:B45,D15)</x:f>
        <x:v>3</x:v>
      </x:c>
    </x:row>
    <x:row r="16" ht="15" hidden="0" customHeight="1">
      <x:c r="A16" s="23" t="str">
        <x:v>Published posts</x:v>
      </x:c>
      <x:c r="B16" s="23" t="n">
        <x:v>26</x:v>
      </x:c>
      <x:c r="D16" s="24" t="str">
        <x:v>Responsive UX</x:v>
      </x:c>
      <x:c r="E16" s="24" t="n">
        <x:f>COUNTIF('User Stories'!B6:B45,D16)</x:f>
        <x:v>1</x:v>
      </x:c>
    </x:row>
    <x:row r="17" ht="15" hidden="0" customHeight="1">
      <x:c r="A17" s="24" t="str">
        <x:v>Unique post tags</x:v>
      </x:c>
      <x:c r="B17" s="24" t="n">
        <x:v>43</x:v>
      </x:c>
      <x:c r="D17" s="24" t="str">
        <x:v>Routing</x:v>
      </x:c>
      <x:c r="E17" s="24" t="n">
        <x:f>COUNTIF('User Stories'!B6:B45,D17)</x:f>
        <x:v>4</x:v>
      </x:c>
    </x:row>
    <x:row r="18" ht="15" hidden="0" customHeight="1">
      <x:c r="A18" s="24" t="str">
        <x:v>Posts with social images</x:v>
      </x:c>
      <x:c r="B18" s="24" t="n">
        <x:v>6</x:v>
      </x:c>
      <x:c r="D18" s="24" t="str">
        <x:v>SEO</x:v>
      </x:c>
      <x:c r="E18" s="24" t="n">
        <x:f>COUNTIF('User Stories'!B6:B45,D18)</x:f>
        <x:v>5</x:v>
      </x:c>
    </x:row>
    <x:row r="19" ht="15" hidden="0" customHeight="1">
      <x:c r="A19" s="24" t="str">
        <x:v>Live project cards</x:v>
      </x:c>
      <x:c r="B19" s="24" t="n">
        <x:v>6</x:v>
      </x:c>
      <x:c r="D19" s="24" t="str">
        <x:v>Social Card</x:v>
      </x:c>
      <x:c r="E19" s="24" t="n">
        <x:f>COUNTIF('User Stories'!B6:B45,D19)</x:f>
        <x:v>1</x:v>
      </x:c>
    </x:row>
    <x:row r="20" ht="15" hidden="0" customHeight="1">
      <x:c r="A20" s="24" t="str">
        <x:v>Repo/experiment cards</x:v>
      </x:c>
      <x:c r="B20" s="24" t="n">
        <x:v>14</x:v>
      </x:c>
      <x:c r="D20" s="25" t="str">
        <x:v>Visual Shell</x:v>
      </x:c>
      <x:c r="E20" s="25" t="n">
        <x:f>COUNTIF('User Stories'!B6:B45,D20)</x:f>
        <x:v>2</x:v>
      </x:c>
    </x:row>
    <x:row r="21" ht="15" hidden="0" customHeight="1">
      <x:c r="A21" s="24" t="str">
        <x:v>Total project cards</x:v>
      </x:c>
      <x:c r="B21" s="24" t="n">
        <x:v>20</x:v>
      </x:c>
    </x:row>
    <x:row r="22" ht="15" hidden="0" customHeight="1">
      <x:c r="A22" s="24" t="str">
        <x:v>User stories documented</x:v>
      </x:c>
      <x:c r="B22" s="24" t="n">
        <x:v>40</x:v>
      </x:c>
    </x:row>
    <x:row r="23" ht="15" hidden="0" customHeight="1">
      <x:c r="A23" s="24" t="str">
        <x:v>Issues documented</x:v>
      </x:c>
      <x:c r="B23" s="24" t="n">
        <x:v>1</x:v>
      </x:c>
    </x:row>
    <x:row r="24" ht="15" hidden="0" customHeight="1">
      <x:c r="A24" s="25" t="str">
        <x:v>Open issues</x:v>
      </x:c>
      <x:c r="B24" s="25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46" hidden="0" customWidth="1"/>
    <x:col min="5" max="5" width="58" hidden="0" customWidth="1"/>
    <x:col min="6" max="6" width="36" hidden="0" customWidth="1"/>
    <x:col min="7" max="7" width="10" hidden="0" customWidth="1"/>
    <x:col min="8" max="8" width="18" hidden="0" customWidth="1"/>
    <x:col min="9" max="9" width="18" hidden="0" customWidth="1"/>
    <x:col min="10" max="10" width="34" hidden="0" customWidth="1"/>
    <x:col min="11" max="11" width="18" hidden="0" customWidth="1"/>
    <x:col min="12" max="12" width="18" hidden="0" customWidth="1"/>
    <x:col min="13" max="13" width="16" hidden="0" customWidth="1"/>
    <x:col min="14" max="14" width="34" hidden="0" customWidth="1"/>
    <x:col min="15" max="15" width="28" hidden="0" customWidth="1"/>
  </x:cols>
  <x:sheetData>
    <x:row r="1" ht="19.200000762939453" hidden="0" customHeight="1">
      <x:c r="A1" s="4" t="str">
        <x:v>User Stories and Test Status</x:v>
      </x:c>
      <x:c r="B1" s="4" t="str">
        <x:v>User Stories and Test Status</x:v>
      </x:c>
      <x:c r="C1" s="4" t="str">
        <x:v>User Stories and Test Status</x:v>
      </x:c>
      <x:c r="D1" s="4" t="str">
        <x:v>User Stories and Test Status</x:v>
      </x:c>
      <x:c r="E1" s="4" t="str">
        <x:v>User Stories and Test Status</x:v>
      </x:c>
      <x:c r="F1" s="4" t="str">
        <x:v>User Stories and Test Status</x:v>
      </x:c>
      <x:c r="G1" s="4" t="str">
        <x:v>User Stories and Test Status</x:v>
      </x:c>
      <x:c r="H1" s="4" t="str">
        <x:v>User Stories and Test Status</x:v>
      </x:c>
      <x:c r="I1" s="4" t="str">
        <x:v>User Stories and Test Status</x:v>
      </x:c>
      <x:c r="J1" s="4" t="str">
        <x:v>User Stories and Test Status</x:v>
      </x:c>
      <x:c r="K1" s="4" t="str">
        <x:v>User Stories and Test Status</x:v>
      </x:c>
      <x:c r="L1" s="4" t="str">
        <x:v>User Stories and Test Status</x:v>
      </x:c>
      <x:c r="M1" s="4" t="str">
        <x:v>User Stories and Test Status</x:v>
      </x:c>
      <x:c r="N1" s="4" t="str">
        <x:v>User Stories and Test Status</x:v>
      </x:c>
      <x:c r="O1" s="4" t="str">
        <x:v>User Stories and Test Status</x:v>
      </x:c>
    </x:row>
    <x:row r="2" ht="15" hidden="0" customHeight="1">
      <x:c r="A2" s="9" t="str">
        <x:v>Update this sheet during the testing loop. One row equals one user behavior or testable feature contract derived from the current code.</x:v>
      </x:c>
      <x:c r="B2" s="9" t="str">
        <x:v>Update this sheet during the testing loop. One row equals one user behavior or testable feature contract derived from the current code.</x:v>
      </x:c>
      <x:c r="C2" s="9" t="str">
        <x:v>Update this sheet during the testing loop. One row equals one user behavior or testable feature contract derived from the current code.</x:v>
      </x:c>
      <x:c r="D2" s="9" t="str">
        <x:v>Update this sheet during the testing loop. One row equals one user behavior or testable feature contract derived from the current code.</x:v>
      </x:c>
      <x:c r="E2" s="9" t="str">
        <x:v>Update this sheet during the testing loop. One row equals one user behavior or testable feature contract derived from the current code.</x:v>
      </x:c>
      <x:c r="F2" s="9" t="str">
        <x:v>Update this sheet during the testing loop. One row equals one user behavior or testable feature contract derived from the current code.</x:v>
      </x:c>
      <x:c r="G2" s="9" t="str">
        <x:v>Update this sheet during the testing loop. One row equals one user behavior or testable feature contract derived from the current code.</x:v>
      </x:c>
      <x:c r="H2" s="9" t="str">
        <x:v>Update this sheet during the testing loop. One row equals one user behavior or testable feature contract derived from the current code.</x:v>
      </x:c>
      <x:c r="I2" s="9" t="str">
        <x:v>Update this sheet during the testing loop. One row equals one user behavior or testable feature contract derived from the current code.</x:v>
      </x:c>
      <x:c r="J2" s="9" t="str">
        <x:v>Update this sheet during the testing loop. One row equals one user behavior or testable feature contract derived from the current code.</x:v>
      </x:c>
      <x:c r="K2" s="9" t="str">
        <x:v>Update this sheet during the testing loop. One row equals one user behavior or testable feature contract derived from the current code.</x:v>
      </x:c>
      <x:c r="L2" s="9" t="str">
        <x:v>Update this sheet during the testing loop. One row equals one user behavior or testable feature contract derived from the current code.</x:v>
      </x:c>
      <x:c r="M2" s="9" t="str">
        <x:v>Update this sheet during the testing loop. One row equals one user behavior or testable feature contract derived from the current code.</x:v>
      </x:c>
      <x:c r="N2" s="9" t="str">
        <x:v>Update this sheet during the testing loop. One row equals one user behavior or testable feature contract derived from the current code.</x:v>
      </x:c>
      <x:c r="O2" s="9" t="str">
        <x:v>Update this sheet during the testing loop. One row equals one user behavior or testable feature contract derived from the current code.</x:v>
      </x:c>
    </x:row>
    <x:row r="3"/>
    <x:row r="4"/>
    <x:row r="5" ht="15" hidden="0" customHeight="1">
      <x:c r="A5" s="14" t="str">
        <x:v>Story ID</x:v>
      </x:c>
      <x:c r="B5" s="14" t="str">
        <x:v>Area</x:v>
      </x:c>
      <x:c r="C5" s="14" t="str">
        <x:v>Feature</x:v>
      </x:c>
      <x:c r="D5" s="14" t="str">
        <x:v>User Story</x:v>
      </x:c>
      <x:c r="E5" s="14" t="str">
        <x:v>Expected Behavior</x:v>
      </x:c>
      <x:c r="F5" s="14" t="str">
        <x:v>Source Evidence</x:v>
      </x:c>
      <x:c r="G5" s="14" t="str">
        <x:v>Priority</x:v>
      </x:c>
      <x:c r="H5" s="14" t="str">
        <x:v>Story Status</x:v>
      </x:c>
      <x:c r="I5" s="14" t="str">
        <x:v>Initial Test Status</x:v>
      </x:c>
      <x:c r="J5" s="14" t="str">
        <x:v>Error Summary</x:v>
      </x:c>
      <x:c r="K5" s="14" t="str">
        <x:v>Fix Status</x:v>
      </x:c>
      <x:c r="L5" s="14" t="str">
        <x:v>Retest Status</x:v>
      </x:c>
      <x:c r="M5" s="14" t="str">
        <x:v>Last Verified</x:v>
      </x:c>
      <x:c r="N5" s="14" t="str">
        <x:v>Test Notes</x:v>
      </x:c>
      <x:c r="O5" s="14" t="str">
        <x:v>Automation Candidate</x:v>
      </x:c>
    </x:row>
    <x:row r="6" ht="24" hidden="0" customHeight="1">
      <x:c r="A6" s="23" t="str">
        <x:v>US-001</x:v>
      </x:c>
      <x:c r="B6" s="23" t="str">
        <x:v>Routing</x:v>
      </x:c>
      <x:c r="C6" s="23" t="str">
        <x:v>Root homepage route</x:v>
      </x:c>
      <x:c r="D6" s="23" t="str">
        <x:v>As a reader, I want `/` to load the blog homepage so I can discover the site and latest posts.</x:v>
      </x:c>
      <x:c r="E6" s="23" t="str">
        <x:v>The root route renders the hero, topbar, wallpaper, recent posts heading, first page of posts, and document title `Jorgeasaurus`.</x:v>
      </x:c>
      <x:c r="F6" s="23" t="str">
        <x:v>src/App.tsx; src/pages/Home.tsx</x:v>
      </x:c>
      <x:c r="G6" s="23" t="str">
        <x:v>P0</x:v>
      </x:c>
      <x:c r="H6" s="23" t="str">
        <x:v>Retest Passed</x:v>
      </x:c>
      <x:c r="I6" s="23" t="str">
        <x:v>Pass</x:v>
      </x:c>
      <x:c r="J6" s="23" t="str"/>
      <x:c r="K6" s="23" t="str">
        <x:v>Not Needed Yet</x:v>
      </x:c>
      <x:c r="L6" s="23" t="str">
        <x:v>Pass</x:v>
      </x:c>
      <x:c r="M6" s="26" t="n">
        <x:v>46201.97225672453</x:v>
      </x:c>
      <x:c r="N6" s="23" t="str">
        <x:v>Homepage route rendered hero, topbar, wallpaper, and five post cards. Post-fix retest pass.</x:v>
      </x:c>
      <x:c r="O6" s="23" t="str">
        <x:v>Playwright route render</x:v>
      </x:c>
    </x:row>
    <x:row r="7" ht="24" hidden="0" customHeight="1">
      <x:c r="A7" s="24" t="str">
        <x:v>US-002</x:v>
      </x:c>
      <x:c r="B7" s="24" t="str">
        <x:v>Routing</x:v>
      </x:c>
      <x:c r="C7" s="24" t="str">
        <x:v>Canonical post routes</x:v>
      </x:c>
      <x:c r="D7" s="24" t="str">
        <x:v>As a reader, I want published posts to open from clean slug URLs and `/post/:slug` URLs.</x:v>
      </x:c>
      <x:c r="E7" s="24" t="str">
        <x:v>Both `/:slug` and `/post/:slug` render the same post template for valid metadata slugs and show the same title/content.</x:v>
      </x:c>
      <x:c r="F7" s="24" t="str">
        <x:v>src/App.tsx; src/pages/Post.tsx; src/content/posts.ts</x:v>
      </x:c>
      <x:c r="G7" s="24" t="str">
        <x:v>P0</x:v>
      </x:c>
      <x:c r="H7" s="24" t="str">
        <x:v>Retest Passed</x:v>
      </x:c>
      <x:c r="I7" s="24" t="str">
        <x:v>Pass</x:v>
      </x:c>
      <x:c r="J7" s="24" t="str"/>
      <x:c r="K7" s="24" t="str">
        <x:v>Not Needed Yet</x:v>
      </x:c>
      <x:c r="L7" s="24" t="str">
        <x:v>Pass</x:v>
      </x:c>
      <x:c r="M7" s="27" t="n">
        <x:v>46201.97225672453</x:v>
      </x:c>
      <x:c r="N7" s="24" t="str">
        <x:v>Clean and /post routes rendered make-yourself-obsolete. Post-fix retest pass.</x:v>
      </x:c>
      <x:c r="O7" s="24" t="str">
        <x:v>Playwright data-driven route test</x:v>
      </x:c>
    </x:row>
    <x:row r="8" ht="24" hidden="0" customHeight="1">
      <x:c r="A8" s="24" t="str">
        <x:v>US-003</x:v>
      </x:c>
      <x:c r="B8" s="24" t="str">
        <x:v>Routing</x:v>
      </x:c>
      <x:c r="C8" s="24" t="str">
        <x:v>Legacy untitled redirect</x:v>
      </x:c>
      <x:c r="D8" s="24" t="str">
        <x:v>As a returning visitor with an old `/untitled` link, I want to be redirected to the intended post.</x:v>
      </x:c>
      <x:c r="E8" s="24" t="str">
        <x:v>`/untitled` redirects with replace navigation to `/intune-device-queries-to-level-up-your-device-management`.</x:v>
      </x:c>
      <x:c r="F8" s="24" t="str">
        <x:v>src/App.tsx</x:v>
      </x:c>
      <x:c r="G8" s="24" t="str">
        <x:v>P1</x:v>
      </x:c>
      <x:c r="H8" s="24" t="str">
        <x:v>Retest Passed</x:v>
      </x:c>
      <x:c r="I8" s="24" t="str">
        <x:v>Pass</x:v>
      </x:c>
      <x:c r="J8" s="24" t="str"/>
      <x:c r="K8" s="24" t="str">
        <x:v>Not Needed Yet</x:v>
      </x:c>
      <x:c r="L8" s="24" t="str">
        <x:v>Pass</x:v>
      </x:c>
      <x:c r="M8" s="27" t="n">
        <x:v>46201.97225672453</x:v>
      </x:c>
      <x:c r="N8" s="24" t="str">
        <x:v>/untitled redirected to the expected post slug. Post-fix retest pass.</x:v>
      </x:c>
      <x:c r="O8" s="24" t="str">
        <x:v>Playwright navigation assertion</x:v>
      </x:c>
    </x:row>
    <x:row r="9" ht="36" hidden="0" customHeight="1">
      <x:c r="A9" s="24" t="str">
        <x:v>US-004</x:v>
      </x:c>
      <x:c r="B9" s="24" t="str">
        <x:v>Routing</x:v>
      </x:c>
      <x:c r="C9" s="24" t="str">
        <x:v>Unknown page handling</x:v>
      </x:c>
      <x:c r="D9" s="24" t="str">
        <x:v>As a visitor on a bad URL, I want a clear not-found page and a way back home.</x:v>
      </x:c>
      <x:c r="E9" s="24" t="str">
        <x:v>Unknown unmatched routes render Page Not Found, set document title to `Page Not Found | Jorgeasaurus`, set robots to `noindex,nofollow`, and provide a Back to home link.</x:v>
      </x:c>
      <x:c r="F9" s="24" t="str">
        <x:v>src/App.tsx; src/pages/NotFound.tsx</x:v>
      </x:c>
      <x:c r="G9" s="24" t="str">
        <x:v>P0</x:v>
      </x:c>
      <x:c r="H9" s="24" t="str">
        <x:v>Retest Passed</x:v>
      </x:c>
      <x:c r="I9" s="24" t="str">
        <x:v>Pass</x:v>
      </x:c>
      <x:c r="J9" s="24" t="str"/>
      <x:c r="K9" s="24" t="str">
        <x:v>Not Needed Yet</x:v>
      </x:c>
      <x:c r="L9" s="24" t="str">
        <x:v>Pass</x:v>
      </x:c>
      <x:c r="M9" s="27" t="n">
        <x:v>46201.97225672453</x:v>
      </x:c>
      <x:c r="N9" s="24" t="str">
        <x:v>Unmatched multi-segment route rendered NotFound with noindex and home link. Post-fix retest pass.</x:v>
      </x:c>
      <x:c r="O9" s="24" t="str">
        <x:v>Playwright route/meta test</x:v>
      </x:c>
    </x:row>
    <x:row r="10" ht="24" hidden="0" customHeight="1">
      <x:c r="A10" s="24" t="str">
        <x:v>US-005</x:v>
      </x:c>
      <x:c r="B10" s="24" t="str">
        <x:v>Navigation</x:v>
      </x:c>
      <x:c r="C10" s="24" t="str">
        <x:v>Primary topbar navigation</x:v>
      </x:c>
      <x:c r="D10" s="24" t="str">
        <x:v>As a visitor, I want consistent navigation across site pages.</x:v>
      </x:c>
      <x:c r="E10" s="24" t="str">
        <x:v>Topbar appears on blog pages, brand link returns home, Home/Projects/About links route internally, and the active nav item reflects the current pathname.</x:v>
      </x:c>
      <x:c r="F10" s="24" t="str">
        <x:v>src/components/Topbar.tsx</x:v>
      </x:c>
      <x:c r="G10" s="24" t="str">
        <x:v>P0</x:v>
      </x:c>
      <x:c r="H10" s="24" t="str">
        <x:v>Retest Passed</x:v>
      </x:c>
      <x:c r="I10" s="24" t="str">
        <x:v>Pass</x:v>
      </x:c>
      <x:c r="J10" s="24" t="str"/>
      <x:c r="K10" s="24" t="str">
        <x:v>Not Needed Yet</x:v>
      </x:c>
      <x:c r="L10" s="24" t="str">
        <x:v>Pass</x:v>
      </x:c>
      <x:c r="M10" s="27" t="n">
        <x:v>46201.97225672453</x:v>
      </x:c>
      <x:c r="N10" s="24" t="str">
        <x:v>Topbar rendered across primary pages with expected active states. Post-fix retest pass.</x:v>
      </x:c>
      <x:c r="O10" s="24" t="str">
        <x:v>Playwright navigation test</x:v>
      </x:c>
    </x:row>
    <x:row r="11" ht="24" hidden="0" customHeight="1">
      <x:c r="A11" s="24" t="str">
        <x:v>US-006</x:v>
      </x:c>
      <x:c r="B11" s="24" t="str">
        <x:v>Navigation</x:v>
      </x:c>
      <x:c r="C11" s="24" t="str">
        <x:v>Topbar social links</x:v>
      </x:c>
      <x:c r="D11" s="24" t="str">
        <x:v>As a visitor, I want quick access to GitHub and LinkedIn profiles.</x:v>
      </x:c>
      <x:c r="E11" s="24" t="str">
        <x:v>GitHub and LinkedIn icon links open the configured external URLs in a new tab with `rel="noopener noreferrer"` and accessible labels.</x:v>
      </x:c>
      <x:c r="F11" s="24" t="str">
        <x:v>src/components/Topbar.tsx; src/components/SocialIcon.tsx</x:v>
      </x:c>
      <x:c r="G11" s="24" t="str">
        <x:v>P1</x:v>
      </x:c>
      <x:c r="H11" s="24" t="str">
        <x:v>Retest Passed</x:v>
      </x:c>
      <x:c r="I11" s="24" t="str">
        <x:v>Pass</x:v>
      </x:c>
      <x:c r="J11" s="24" t="str"/>
      <x:c r="K11" s="24" t="str">
        <x:v>Not Needed Yet</x:v>
      </x:c>
      <x:c r="L11" s="24" t="str">
        <x:v>Pass</x:v>
      </x:c>
      <x:c r="M11" s="27" t="n">
        <x:v>46201.97225672453</x:v>
      </x:c>
      <x:c r="N11" s="24" t="str">
        <x:v>Topbar social links had accessible labels, target, and rel attributes. Post-fix retest pass.</x:v>
      </x:c>
      <x:c r="O11" s="24" t="str">
        <x:v>DOM attribute test</x:v>
      </x:c>
    </x:row>
    <x:row r="12" ht="24" hidden="0" customHeight="1">
      <x:c r="A12" s="24" t="str">
        <x:v>US-007</x:v>
      </x:c>
      <x:c r="B12" s="24" t="str">
        <x:v>Homepage</x:v>
      </x:c>
      <x:c r="C12" s="24" t="str">
        <x:v>Hero profile block</x:v>
      </x:c>
      <x:c r="D12" s="24" t="str">
        <x:v>As a first-time visitor, I want to understand who the site is for and where to find profile links.</x:v>
      </x:c>
      <x:c r="E12" s="24" t="str">
        <x:v>Homepage hero shows `&gt; Jorgeasaurus`, `Learn. Build. Automate.`, field-note copy, GitHub link, and Microsoft MVP link with icons.</x:v>
      </x:c>
      <x:c r="F12" s="24" t="str">
        <x:v>src/pages/Home.tsx</x:v>
      </x:c>
      <x:c r="G12" s="24" t="str">
        <x:v>P0</x:v>
      </x:c>
      <x:c r="H12" s="24" t="str">
        <x:v>Retest Passed</x:v>
      </x:c>
      <x:c r="I12" s="24" t="str">
        <x:v>Pass</x:v>
      </x:c>
      <x:c r="J12" s="24" t="str"/>
      <x:c r="K12" s="24" t="str">
        <x:v>Not Needed Yet</x:v>
      </x:c>
      <x:c r="L12" s="24" t="str">
        <x:v>Pass</x:v>
      </x:c>
      <x:c r="M12" s="27" t="n">
        <x:v>46201.97225672453</x:v>
      </x:c>
      <x:c r="N12" s="24" t="str">
        <x:v>Hero brand, tagline, copy, and profile links rendered. Post-fix retest pass.</x:v>
      </x:c>
      <x:c r="O12" s="24" t="str">
        <x:v>Playwright text/link assertions</x:v>
      </x:c>
    </x:row>
    <x:row r="13" ht="24" hidden="0" customHeight="1">
      <x:c r="A13" s="24" t="str">
        <x:v>US-008</x:v>
      </x:c>
      <x:c r="B13" s="24" t="str">
        <x:v>Homepage</x:v>
      </x:c>
      <x:c r="C13" s="24" t="str">
        <x:v>Post sorting and latest card</x:v>
      </x:c>
      <x:c r="D13" s="24" t="str">
        <x:v>As a reader, I want the newest posts first so current content is easy to find.</x:v>
      </x:c>
      <x:c r="E13" s="24" t="str">
        <x:v>Posts are sorted descending by date; page 1 shows five posts; the newest unfiltered post is visually featured and marked Latest.</x:v>
      </x:c>
      <x:c r="F13" s="24" t="str">
        <x:v>src/pages/Home.tsx; src/lib/posts.ts; src/components/PostCard.tsx</x:v>
      </x:c>
      <x:c r="G13" s="24" t="str">
        <x:v>P0</x:v>
      </x:c>
      <x:c r="H13" s="24" t="str">
        <x:v>Retest Passed</x:v>
      </x:c>
      <x:c r="I13" s="24" t="str">
        <x:v>Pass</x:v>
      </x:c>
      <x:c r="J13" s="24" t="str"/>
      <x:c r="K13" s="24" t="str">
        <x:v>Not Needed Yet</x:v>
      </x:c>
      <x:c r="L13" s="24" t="str">
        <x:v>Pass</x:v>
      </x:c>
      <x:c r="M13" s="27" t="n">
        <x:v>46201.97225672453</x:v>
      </x:c>
      <x:c r="N13" s="24" t="str">
        <x:v>Posts sorted newest first and latest card is featured. Post-fix retest pass.</x:v>
      </x:c>
      <x:c r="O13" s="24" t="str">
        <x:v>Data-driven DOM order test</x:v>
      </x:c>
    </x:row>
    <x:row r="14" ht="36" hidden="0" customHeight="1">
      <x:c r="A14" s="24" t="str">
        <x:v>US-009</x:v>
      </x:c>
      <x:c r="B14" s="24" t="str">
        <x:v>Homepage</x:v>
      </x:c>
      <x:c r="C14" s="24" t="str">
        <x:v>Pagination</x:v>
      </x:c>
      <x:c r="D14" s="24" t="str">
        <x:v>As a reader, I want to browse older posts without loading every article at once.</x:v>
      </x:c>
      <x:c r="E14" s="24" t="str">
        <x:v>Pagination appears when filtered results exceed five posts, page links preserve active tag filters, disabled Newer/Older states render at boundaries, and invalid page values clamp to a valid page.</x:v>
      </x:c>
      <x:c r="F14" s="24" t="str">
        <x:v>src/pages/Home.tsx</x:v>
      </x:c>
      <x:c r="G14" s="24" t="str">
        <x:v>P0</x:v>
      </x:c>
      <x:c r="H14" s="24" t="str">
        <x:v>Retest Passed</x:v>
      </x:c>
      <x:c r="I14" s="24" t="str">
        <x:v>Pass</x:v>
      </x:c>
      <x:c r="J14" s="24" t="str"/>
      <x:c r="K14" s="24" t="str">
        <x:v>Not Needed Yet</x:v>
      </x:c>
      <x:c r="L14" s="24" t="str">
        <x:v>Pass</x:v>
      </x:c>
      <x:c r="M14" s="27" t="n">
        <x:v>46201.97225672453</x:v>
      </x:c>
      <x:c r="N14" s="24" t="str">
        <x:v>Pagination, tag preservation, and page clamping passed. Post-fix retest pass.</x:v>
      </x:c>
      <x:c r="O14" s="24" t="str">
        <x:v>Playwright query-param test</x:v>
      </x:c>
    </x:row>
    <x:row r="15" ht="24" hidden="0" customHeight="1">
      <x:c r="A15" s="24" t="str">
        <x:v>US-010</x:v>
      </x:c>
      <x:c r="B15" s="24" t="str">
        <x:v>Homepage</x:v>
      </x:c>
      <x:c r="C15" s="24" t="str">
        <x:v>Tag filtering</x:v>
      </x:c>
      <x:c r="D15" s="24" t="str">
        <x:v>As a reader, I want to click a tag and see only matching posts.</x:v>
      </x:c>
      <x:c r="E15" s="24" t="str">
        <x:v>Post-card tag links set `?tag=&lt;encoded tag&gt;`, the heading changes to `Tagged: &lt;tag&gt;`, visible posts all include the tag, and Clear filter returns to `/`.</x:v>
      </x:c>
      <x:c r="F15" s="24" t="str">
        <x:v>src/pages/Home.tsx; src/components/PostCard.tsx; src/content/posts.ts</x:v>
      </x:c>
      <x:c r="G15" s="24" t="str">
        <x:v>P0</x:v>
      </x:c>
      <x:c r="H15" s="24" t="str">
        <x:v>Retest Passed</x:v>
      </x:c>
      <x:c r="I15" s="24" t="str">
        <x:v>Pass</x:v>
      </x:c>
      <x:c r="J15" s="24" t="str"/>
      <x:c r="K15" s="24" t="str">
        <x:v>Not Needed Yet</x:v>
      </x:c>
      <x:c r="L15" s="24" t="str">
        <x:v>Pass</x:v>
      </x:c>
      <x:c r="M15" s="27" t="n">
        <x:v>46201.97225672453</x:v>
      </x:c>
      <x:c r="N15" s="24" t="str">
        <x:v>Tag chip filtered posts and exposed clear filter link. Post-fix retest pass.</x:v>
      </x:c>
      <x:c r="O15" s="24" t="str">
        <x:v>Playwright tag-link test</x:v>
      </x:c>
    </x:row>
    <x:row r="16" ht="24" hidden="0" customHeight="1">
      <x:c r="A16" s="24" t="str">
        <x:v>US-011</x:v>
      </x:c>
      <x:c r="B16" s="24" t="str">
        <x:v>Homepage</x:v>
      </x:c>
      <x:c r="C16" s="24" t="str">
        <x:v>Empty tag state</x:v>
      </x:c>
      <x:c r="D16" s="24" t="str">
        <x:v>As a reader who lands on a tag URL with no matches, I want a clear empty state.</x:v>
      </x:c>
      <x:c r="E16" s="24" t="str">
        <x:v>A non-matching tag query shows `No posts tagged ...`, keeps the clear-filter link visible, and does not render stale post cards.</x:v>
      </x:c>
      <x:c r="F16" s="24" t="str">
        <x:v>src/pages/Home.tsx</x:v>
      </x:c>
      <x:c r="G16" s="24" t="str">
        <x:v>P1</x:v>
      </x:c>
      <x:c r="H16" s="24" t="str">
        <x:v>Retest Passed</x:v>
      </x:c>
      <x:c r="I16" s="24" t="str">
        <x:v>Pass</x:v>
      </x:c>
      <x:c r="J16" s="24" t="str"/>
      <x:c r="K16" s="24" t="str">
        <x:v>Not Needed Yet</x:v>
      </x:c>
      <x:c r="L16" s="24" t="str">
        <x:v>Pass</x:v>
      </x:c>
      <x:c r="M16" s="27" t="n">
        <x:v>46201.97225672453</x:v>
      </x:c>
      <x:c r="N16" s="24" t="str">
        <x:v>Empty tag query rendered empty state without stale cards. Post-fix retest pass.</x:v>
      </x:c>
      <x:c r="O16" s="24" t="str">
        <x:v>Playwright query-param test</x:v>
      </x:c>
    </x:row>
    <x:row r="17" ht="36" hidden="0" customHeight="1">
      <x:c r="A17" s="24" t="str">
        <x:v>US-012</x:v>
      </x:c>
      <x:c r="B17" s="24" t="str">
        <x:v>SEO</x:v>
      </x:c>
      <x:c r="C17" s="24" t="str">
        <x:v>Filtered homepage robots meta</x:v>
      </x:c>
      <x:c r="D17" s="24" t="str">
        <x:v>As the site owner, I want filtered and paginated list URLs excluded from indexing while the main homepage remains indexable.</x:v>
      </x:c>
      <x:c r="E17" s="24" t="str">
        <x:v>Homepage sets robots to `index,follow` only on unfiltered page 1; tag filters or page &gt; 1 set `noindex,follow`; unmount restores the previous meta value.</x:v>
      </x:c>
      <x:c r="F17" s="24" t="str">
        <x:v>src/pages/Home.tsx</x:v>
      </x:c>
      <x:c r="G17" s="24" t="str">
        <x:v>P1</x:v>
      </x:c>
      <x:c r="H17" s="24" t="str">
        <x:v>Retest Passed</x:v>
      </x:c>
      <x:c r="I17" s="24" t="str">
        <x:v>Pass</x:v>
      </x:c>
      <x:c r="J17" s="24" t="str"/>
      <x:c r="K17" s="24" t="str">
        <x:v>Not Needed Yet</x:v>
      </x:c>
      <x:c r="L17" s="24" t="str">
        <x:v>Pass</x:v>
      </x:c>
      <x:c r="M17" s="27" t="n">
        <x:v>46201.97225672453</x:v>
      </x:c>
      <x:c r="N17" s="24" t="str">
        <x:v>Homepage robots meta switched correctly for base, tag, and paginated states. Post-fix retest pass.</x:v>
      </x:c>
      <x:c r="O17" s="24" t="str">
        <x:v>Playwright meta assertion</x:v>
      </x:c>
    </x:row>
    <x:row r="18" ht="24" hidden="0" customHeight="1">
      <x:c r="A18" s="24" t="str">
        <x:v>US-013</x:v>
      </x:c>
      <x:c r="B18" s="24" t="str">
        <x:v>Blog Posts</x:v>
      </x:c>
      <x:c r="C18" s="24" t="str">
        <x:v>Post-card navigation</x:v>
      </x:c>
      <x:c r="D18" s="24" t="str">
        <x:v>As a reader, I want each post card to behave like a clear article link.</x:v>
      </x:c>
      <x:c r="E18" s="24" t="str">
        <x:v>Card title link covers the card, opens the clean slug route, tag chips remain separately clickable, and the visible CTA arrow is decorative.</x:v>
      </x:c>
      <x:c r="F18" s="24" t="str">
        <x:v>src/components/PostCard.tsx</x:v>
      </x:c>
      <x:c r="G18" s="24" t="str">
        <x:v>P0</x:v>
      </x:c>
      <x:c r="H18" s="24" t="str">
        <x:v>Retest Passed</x:v>
      </x:c>
      <x:c r="I18" s="24" t="str">
        <x:v>Pass</x:v>
      </x:c>
      <x:c r="J18" s="24" t="str"/>
      <x:c r="K18" s="24" t="str">
        <x:v>Not Needed Yet</x:v>
      </x:c>
      <x:c r="L18" s="24" t="str">
        <x:v>Pass</x:v>
      </x:c>
      <x:c r="M18" s="27" t="n">
        <x:v>46201.97225672453</x:v>
      </x:c>
      <x:c r="N18" s="24" t="str">
        <x:v>Post card title and tag links had expected destinations. Post-fix retest pass.</x:v>
      </x:c>
      <x:c r="O18" s="24" t="str">
        <x:v>Playwright click target test</x:v>
      </x:c>
    </x:row>
    <x:row r="19" ht="24" hidden="0" customHeight="1">
      <x:c r="A19" s="24" t="str">
        <x:v>US-014</x:v>
      </x:c>
      <x:c r="B19" s="24" t="str">
        <x:v>Blog Posts</x:v>
      </x:c>
      <x:c r="C19" s="24" t="str">
        <x:v>Dynamic MDX article loading</x:v>
      </x:c>
      <x:c r="D19" s="24" t="str">
        <x:v>As a reader, I want each published article to load its MDX content from the metadata slug.</x:v>
      </x:c>
      <x:c r="E19" s="24" t="str">
        <x:v>Valid slugs load the matching MDX component, show the post date/title/description, and set document title to `&lt;post title&gt; | Jorgeasaurus`.</x:v>
      </x:c>
      <x:c r="F19" s="24" t="str">
        <x:v>src/pages/Post.tsx; src/content/*.mdx; src/content/posts.ts</x:v>
      </x:c>
      <x:c r="G19" s="24" t="str">
        <x:v>P0</x:v>
      </x:c>
      <x:c r="H19" s="24" t="str">
        <x:v>Retest Passed</x:v>
      </x:c>
      <x:c r="I19" s="24" t="str">
        <x:v>Pass</x:v>
      </x:c>
      <x:c r="J19" s="24" t="str"/>
      <x:c r="K19" s="24" t="str">
        <x:v>Not Needed Yet</x:v>
      </x:c>
      <x:c r="L19" s="24" t="str">
        <x:v>Pass</x:v>
      </x:c>
      <x:c r="M19" s="27" t="n">
        <x:v>46201.97225672453</x:v>
      </x:c>
      <x:c r="N19" s="24" t="str">
        <x:v>All 26 published post slugs rendered their title and document title. Post-fix retest pass.</x:v>
      </x:c>
      <x:c r="O19" s="24" t="str">
        <x:v>Data-driven Playwright post crawl</x:v>
      </x:c>
    </x:row>
    <x:row r="20" ht="24" hidden="0" customHeight="1">
      <x:c r="A20" s="24" t="str">
        <x:v>US-015</x:v>
      </x:c>
      <x:c r="B20" s="24" t="str">
        <x:v>Blog Posts</x:v>
      </x:c>
      <x:c r="C20" s="24" t="str">
        <x:v>Post loading state</x:v>
      </x:c>
      <x:c r="D20" s="24" t="str">
        <x:v>As a reader on a slow connection, I want feedback while article content loads.</x:v>
      </x:c>
      <x:c r="E20" s="24" t="str">
        <x:v>The post route renders a glass loading panel with spinner and `Loading...` while MDX import is pending.</x:v>
      </x:c>
      <x:c r="F20" s="24" t="str">
        <x:v>src/pages/Post.tsx</x:v>
      </x:c>
      <x:c r="G20" s="24" t="str">
        <x:v>P2</x:v>
      </x:c>
      <x:c r="H20" s="24" t="str">
        <x:v>Retest Passed</x:v>
      </x:c>
      <x:c r="I20" s="24" t="str">
        <x:v>Pass</x:v>
      </x:c>
      <x:c r="J20" s="24" t="str"/>
      <x:c r="K20" s="24" t="str">
        <x:v>Not Needed Yet</x:v>
      </x:c>
      <x:c r="L20" s="24" t="str">
        <x:v>Pass</x:v>
      </x:c>
      <x:c r="M20" s="27" t="n">
        <x:v>46201.97225672453</x:v>
      </x:c>
      <x:c r="N20" s="24" t="str">
        <x:v>Delayed dynamic import exposed the loading panel. Post-fix retest pass.</x:v>
      </x:c>
      <x:c r="O20" s="24" t="str">
        <x:v>Component or route-level async test</x:v>
      </x:c>
    </x:row>
    <x:row r="21" ht="24" hidden="0" customHeight="1">
      <x:c r="A21" s="24" t="str">
        <x:v>US-016</x:v>
      </x:c>
      <x:c r="B21" s="24" t="str">
        <x:v>Blog Posts</x:v>
      </x:c>
      <x:c r="C21" s="24" t="str">
        <x:v>Missing post state</x:v>
      </x:c>
      <x:c r="D21" s="24" t="str">
        <x:v>As a visitor on an invalid post slug, I want a clear article-level error.</x:v>
      </x:c>
      <x:c r="E21" s="24" t="str">
        <x:v>A slug that matches no metadata or no MDX module renders `Post Not Found` with explanatory copy instead of crashing.</x:v>
      </x:c>
      <x:c r="F21" s="24" t="str">
        <x:v>src/pages/Post.tsx</x:v>
      </x:c>
      <x:c r="G21" s="24" t="str">
        <x:v>P0</x:v>
      </x:c>
      <x:c r="H21" s="24" t="str">
        <x:v>Retest Passed</x:v>
      </x:c>
      <x:c r="I21" s="24" t="str">
        <x:v>Pass</x:v>
      </x:c>
      <x:c r="J21" s="24" t="str"/>
      <x:c r="K21" s="24" t="str">
        <x:v>Not Needed Yet</x:v>
      </x:c>
      <x:c r="L21" s="24" t="str">
        <x:v>Pass</x:v>
      </x:c>
      <x:c r="M21" s="27" t="n">
        <x:v>46201.97225672453</x:v>
      </x:c>
      <x:c r="N21" s="24" t="str">
        <x:v>Invalid single-slug post route rendered article-level not-found state. Post-fix retest pass.</x:v>
      </x:c>
      <x:c r="O21" s="24" t="str">
        <x:v>Playwright invalid slug test</x:v>
      </x:c>
    </x:row>
    <x:row r="22" ht="24" hidden="0" customHeight="1">
      <x:c r="A22" s="24" t="str">
        <x:v>US-017</x:v>
      </x:c>
      <x:c r="B22" s="24" t="str">
        <x:v>Blog Posts</x:v>
      </x:c>
      <x:c r="C22" s="24" t="str">
        <x:v>Article reading progress</x:v>
      </x:c>
      <x:c r="D22" s="24" t="str">
        <x:v>As a reader, I want a subtle progress indicator while scrolling long posts.</x:v>
      </x:c>
      <x:c r="E22" s="24" t="str">
        <x:v>A fixed reading-progress bar scales from 0 to 1 based on document scroll position and updates on scroll/resize.</x:v>
      </x:c>
      <x:c r="F22" s="24" t="str">
        <x:v>src/pages/Post.tsx; src/styles/App.css</x:v>
      </x:c>
      <x:c r="G22" s="24" t="str">
        <x:v>P1</x:v>
      </x:c>
      <x:c r="H22" s="24" t="str">
        <x:v>Retest Passed</x:v>
      </x:c>
      <x:c r="I22" s="24" t="str">
        <x:v>Pass</x:v>
      </x:c>
      <x:c r="J22" s="24" t="str"/>
      <x:c r="K22" s="24" t="str">
        <x:v>Not Needed Yet</x:v>
      </x:c>
      <x:c r="L22" s="24" t="str">
        <x:v>Pass</x:v>
      </x:c>
      <x:c r="M22" s="27" t="n">
        <x:v>46201.97225672453</x:v>
      </x:c>
      <x:c r="N22" s="24" t="str">
        <x:v>Reading progress transform changed after scrolling a long post. Post-fix retest pass.</x:v>
      </x:c>
      <x:c r="O22" s="24" t="str">
        <x:v>Playwright scroll style test</x:v>
      </x:c>
    </x:row>
    <x:row r="23" ht="24" hidden="0" customHeight="1">
      <x:c r="A23" s="24" t="str">
        <x:v>US-018</x:v>
      </x:c>
      <x:c r="B23" s="24" t="str">
        <x:v>Blog Posts</x:v>
      </x:c>
      <x:c r="C23" s="24" t="str">
        <x:v>Adjacent article navigation</x:v>
      </x:c>
      <x:c r="D23" s="24" t="str">
        <x:v>As a reader finishing a post, I want to move to newer or older field notes.</x:v>
      </x:c>
      <x:c r="E23" s="24" t="str">
        <x:v>Post footer shows newer and/or older links based on sorted post order; boundary posts reserve layout without linking to nonexistent posts.</x:v>
      </x:c>
      <x:c r="F23" s="24" t="str">
        <x:v>src/pages/Post.tsx; src/lib/posts.ts</x:v>
      </x:c>
      <x:c r="G23" s="24" t="str">
        <x:v>P1</x:v>
      </x:c>
      <x:c r="H23" s="24" t="str">
        <x:v>Retest Passed</x:v>
      </x:c>
      <x:c r="I23" s="24" t="str">
        <x:v>Pass</x:v>
      </x:c>
      <x:c r="J23" s="24" t="str"/>
      <x:c r="K23" s="24" t="str">
        <x:v>Not Needed Yet</x:v>
      </x:c>
      <x:c r="L23" s="24" t="str">
        <x:v>Pass</x:v>
      </x:c>
      <x:c r="M23" s="27" t="n">
        <x:v>46201.97225672453</x:v>
      </x:c>
      <x:c r="N23" s="24" t="str">
        <x:v>Adjacent navigation respected newest and oldest boundaries. Post-fix retest pass.</x:v>
      </x:c>
      <x:c r="O23" s="24" t="str">
        <x:v>Data-driven boundary test</x:v>
      </x:c>
    </x:row>
    <x:row r="24" ht="24" hidden="0" customHeight="1">
      <x:c r="A24" s="24" t="str">
        <x:v>US-019</x:v>
      </x:c>
      <x:c r="B24" s="24" t="str">
        <x:v>Images</x:v>
      </x:c>
      <x:c r="C24" s="24" t="str">
        <x:v>Article hero image</x:v>
      </x:c>
      <x:c r="D24" s="24" t="str">
        <x:v>As a reader, I want posts with one configured image to show it prominently.</x:v>
      </x:c>
      <x:c r="E24" s="24" t="str">
        <x:v>When a post has exactly one configured image, it appears as an eager-loaded hero figure with alt text, optional caption, and expandable button.</x:v>
      </x:c>
      <x:c r="F24" s="24" t="str">
        <x:v>src/pages/Post.tsx; src/content/postImages.ts</x:v>
      </x:c>
      <x:c r="G24" s="24" t="str">
        <x:v>P1</x:v>
      </x:c>
      <x:c r="H24" s="24" t="str">
        <x:v>Retest Passed</x:v>
      </x:c>
      <x:c r="I24" s="24" t="str">
        <x:v>Pass</x:v>
      </x:c>
      <x:c r="J24" s="24" t="str"/>
      <x:c r="K24" s="24" t="str">
        <x:v>Not Needed Yet</x:v>
      </x:c>
      <x:c r="L24" s="24" t="str">
        <x:v>Pass</x:v>
      </x:c>
      <x:c r="M24" s="27" t="n">
        <x:v>46201.97225672453</x:v>
      </x:c>
      <x:c r="N24" s="24" t="str">
        <x:v>Post with one configured image rendered an expandable hero image. Post-fix retest pass.</x:v>
      </x:c>
      <x:c r="O24" s="24" t="str">
        <x:v>Data-driven image render test</x:v>
      </x:c>
    </x:row>
    <x:row r="25" ht="24" hidden="0" customHeight="1">
      <x:c r="A25" s="24" t="str">
        <x:v>US-020</x:v>
      </x:c>
      <x:c r="B25" s="24" t="str">
        <x:v>Images</x:v>
      </x:c>
      <x:c r="C25" s="24" t="str">
        <x:v>Inline MDX image expansion</x:v>
      </x:c>
      <x:c r="D25" s="24" t="str">
        <x:v>As a reader, I want article images to be inspectable at a larger size.</x:v>
      </x:c>
      <x:c r="E25" s="24" t="str">
        <x:v>MDX `img` elements are wrapped in buttons that open the lightbox when image source exists; images without expansion context still render as normal images.</x:v>
      </x:c>
      <x:c r="F25" s="24" t="str">
        <x:v>src/pages/Post.tsx; src/content/*.mdx</x:v>
      </x:c>
      <x:c r="G25" s="24" t="str">
        <x:v>P1</x:v>
      </x:c>
      <x:c r="H25" s="24" t="str">
        <x:v>Retest Passed</x:v>
      </x:c>
      <x:c r="I25" s="24" t="str">
        <x:v>Pass</x:v>
      </x:c>
      <x:c r="J25" s="24" t="str"/>
      <x:c r="K25" s="24" t="str">
        <x:v>Not Needed Yet</x:v>
      </x:c>
      <x:c r="L25" s="24" t="str">
        <x:v>Pass</x:v>
      </x:c>
      <x:c r="M25" s="27" t="n">
        <x:v>46201.97225672453</x:v>
      </x:c>
      <x:c r="N25" s="24" t="str">
        <x:v>Inline MDX images were wrapped in expandable trigger buttons. Post-fix retest pass.</x:v>
      </x:c>
      <x:c r="O25" s="24" t="str">
        <x:v>Playwright image click test</x:v>
      </x:c>
    </x:row>
    <x:row r="26" ht="24" hidden="0" customHeight="1">
      <x:c r="A26" s="24" t="str">
        <x:v>US-021</x:v>
      </x:c>
      <x:c r="B26" s="24" t="str">
        <x:v>Images</x:v>
      </x:c>
      <x:c r="C26" s="24" t="str">
        <x:v>Image lightbox</x:v>
      </x:c>
      <x:c r="D26" s="24" t="str">
        <x:v>As a reader viewing an expanded image, I want obvious ways to close it.</x:v>
      </x:c>
      <x:c r="E26" s="24" t="str">
        <x:v>Lightbox uses native dialog, prevents body scroll while open, closes through close button, backdrop click, or cancel/escape, and restores body overflow on close.</x:v>
      </x:c>
      <x:c r="F26" s="24" t="str">
        <x:v>src/pages/Post.tsx</x:v>
      </x:c>
      <x:c r="G26" s="24" t="str">
        <x:v>P1</x:v>
      </x:c>
      <x:c r="H26" s="24" t="str">
        <x:v>Retest Passed</x:v>
      </x:c>
      <x:c r="I26" s="24" t="str">
        <x:v>Pass</x:v>
      </x:c>
      <x:c r="J26" s="24" t="str"/>
      <x:c r="K26" s="24" t="str">
        <x:v>Not Needed Yet</x:v>
      </x:c>
      <x:c r="L26" s="24" t="str">
        <x:v>Pass</x:v>
      </x:c>
      <x:c r="M26" s="27" t="n">
        <x:v>46201.97225672453</x:v>
      </x:c>
      <x:c r="N26" s="24" t="str">
        <x:v>Lightbox opened and closed with body overflow restoration. Post-fix retest pass.</x:v>
      </x:c>
      <x:c r="O26" s="24" t="str">
        <x:v>Playwright dialog interaction test</x:v>
      </x:c>
    </x:row>
    <x:row r="27" ht="24" hidden="0" customHeight="1">
      <x:c r="A27" s="24" t="str">
        <x:v>US-022</x:v>
      </x:c>
      <x:c r="B27" s="24" t="str">
        <x:v>About</x:v>
      </x:c>
      <x:c r="C27" s="24" t="str">
        <x:v>About profile page</x:v>
      </x:c>
      <x:c r="D27" s="24" t="str">
        <x:v>As a visitor, I want to learn who Jorge Suarez is and how to connect.</x:v>
      </x:c>
      <x:c r="E27" s="24" t="str">
        <x:v>`/about` renders the profile copy, portrait image, Microsoft MVP badge link, GitHub/LinkedIn/RSS links, and document title `About | Jorgeasaurus`.</x:v>
      </x:c>
      <x:c r="F27" s="24" t="str">
        <x:v>src/pages/About.tsx</x:v>
      </x:c>
      <x:c r="G27" s="24" t="str">
        <x:v>P0</x:v>
      </x:c>
      <x:c r="H27" s="24" t="str">
        <x:v>Retest Passed</x:v>
      </x:c>
      <x:c r="I27" s="24" t="str">
        <x:v>Pass</x:v>
      </x:c>
      <x:c r="J27" s="24" t="str"/>
      <x:c r="K27" s="24" t="str">
        <x:v>Not Needed Yet</x:v>
      </x:c>
      <x:c r="L27" s="24" t="str">
        <x:v>Pass</x:v>
      </x:c>
      <x:c r="M27" s="27" t="n">
        <x:v>46201.97225672453</x:v>
      </x:c>
      <x:c r="N27" s="24" t="str">
        <x:v>About page rendered profile, imagery, MVP/profile links, and RSS link. Post-fix retest pass.</x:v>
      </x:c>
      <x:c r="O27" s="24" t="str">
        <x:v>Playwright route/link/image test</x:v>
      </x:c>
    </x:row>
    <x:row r="28" ht="24" hidden="0" customHeight="1">
      <x:c r="A28" s="24" t="str">
        <x:v>US-023</x:v>
      </x:c>
      <x:c r="B28" s="24" t="str">
        <x:v>Projects</x:v>
      </x:c>
      <x:c r="C28" s="24" t="str">
        <x:v>Projects landing hero</x:v>
      </x:c>
      <x:c r="D28" s="24" t="str">
        <x:v>As a visitor, I want a clear projects page introduction before project cards.</x:v>
      </x:c>
      <x:c r="E28" s="24" t="str">
        <x:v>`/projects` renders the project hero with title `Tools for endpoint work`, endpoint-tooling copy, and document title `Projects | Jorgeasaurus`.</x:v>
      </x:c>
      <x:c r="F28" s="24" t="str">
        <x:v>src/pages/Projects.tsx</x:v>
      </x:c>
      <x:c r="G28" s="24" t="str">
        <x:v>P0</x:v>
      </x:c>
      <x:c r="H28" s="24" t="str">
        <x:v>Retest Passed</x:v>
      </x:c>
      <x:c r="I28" s="24" t="str">
        <x:v>Pass</x:v>
      </x:c>
      <x:c r="J28" s="24" t="str"/>
      <x:c r="K28" s="24" t="str">
        <x:v>Not Needed Yet</x:v>
      </x:c>
      <x:c r="L28" s="24" t="str">
        <x:v>Pass</x:v>
      </x:c>
      <x:c r="M28" s="27" t="n">
        <x:v>46201.97225672453</x:v>
      </x:c>
      <x:c r="N28" s="24" t="str">
        <x:v>Projects hero rendered title, copy, and page title. Post-fix retest pass.</x:v>
      </x:c>
      <x:c r="O28" s="24" t="str">
        <x:v>Playwright route render test</x:v>
      </x:c>
    </x:row>
    <x:row r="29" ht="24" hidden="0" customHeight="1">
      <x:c r="A29" s="24" t="str">
        <x:v>US-024</x:v>
      </x:c>
      <x:c r="B29" s="24" t="str">
        <x:v>Projects</x:v>
      </x:c>
      <x:c r="C29" s="24" t="str">
        <x:v>Project catalog sections</x:v>
      </x:c>
      <x:c r="D29" s="24" t="str">
        <x:v>As a visitor, I want live products separated from repositories and experiments.</x:v>
      </x:c>
      <x:c r="E29" s="24" t="str">
        <x:v>Projects page renders 6 featured live project cards and 14 repository/experiment cards under their respective headings.</x:v>
      </x:c>
      <x:c r="F29" s="24" t="str">
        <x:v>src/pages/Projects.tsx</x:v>
      </x:c>
      <x:c r="G29" s="24" t="str">
        <x:v>P0</x:v>
      </x:c>
      <x:c r="H29" s="24" t="str">
        <x:v>Retest Passed</x:v>
      </x:c>
      <x:c r="I29" s="24" t="str">
        <x:v>Pass</x:v>
      </x:c>
      <x:c r="J29" s="24" t="str"/>
      <x:c r="K29" s="24" t="str">
        <x:v>Not Needed Yet</x:v>
      </x:c>
      <x:c r="L29" s="24" t="str">
        <x:v>Pass</x:v>
      </x:c>
      <x:c r="M29" s="27" t="n">
        <x:v>46201.97225672453</x:v>
      </x:c>
      <x:c r="N29" s="24" t="str">
        <x:v>Projects page rendered 6 live projects and 14 repo/experiment cards. Post-fix retest pass.</x:v>
      </x:c>
      <x:c r="O29" s="24" t="str">
        <x:v>Playwright card count test</x:v>
      </x:c>
    </x:row>
    <x:row r="30" ht="36" hidden="0" customHeight="1">
      <x:c r="A30" s="24" t="str">
        <x:v>US-025</x:v>
      </x:c>
      <x:c r="B30" s="24" t="str">
        <x:v>Projects</x:v>
      </x:c>
      <x:c r="C30" s="24" t="str">
        <x:v>Project-card outbound links</x:v>
      </x:c>
      <x:c r="D30" s="24" t="str">
        <x:v>As a visitor, I want project cards to take me to the correct project site or repository.</x:v>
      </x:c>
      <x:c r="E30" s="24" t="str">
        <x:v>Each project card shows kind, name, description, tags, and CTA; CTA opens the configured href in a new tab with `noopener noreferrer` and an aria label including the project name.</x:v>
      </x:c>
      <x:c r="F30" s="24" t="str">
        <x:v>src/pages/Projects.tsx</x:v>
      </x:c>
      <x:c r="G30" s="24" t="str">
        <x:v>P0</x:v>
      </x:c>
      <x:c r="H30" s="24" t="str">
        <x:v>Retest Passed</x:v>
      </x:c>
      <x:c r="I30" s="24" t="str">
        <x:v>Pass</x:v>
      </x:c>
      <x:c r="J30" s="24" t="str"/>
      <x:c r="K30" s="24" t="str">
        <x:v>Not Needed Yet</x:v>
      </x:c>
      <x:c r="L30" s="24" t="str">
        <x:v>Pass</x:v>
      </x:c>
      <x:c r="M30" s="27" t="n">
        <x:v>46201.97225672453</x:v>
      </x:c>
      <x:c r="N30" s="24" t="str">
        <x:v>All 20 project cards had expected CTA attributes. Post-fix retest pass.</x:v>
      </x:c>
      <x:c r="O30" s="24" t="str">
        <x:v>DOM attribute/data-driven test</x:v>
      </x:c>
    </x:row>
    <x:row r="31" ht="24" hidden="0" customHeight="1">
      <x:c r="A31" s="24" t="str">
        <x:v>US-026</x:v>
      </x:c>
      <x:c r="B31" s="24" t="str">
        <x:v>Social Card</x:v>
      </x:c>
      <x:c r="C31" s="24" t="str">
        <x:v>Social-card route</x:v>
      </x:c>
      <x:c r="D31" s="24" t="str">
        <x:v>As the site owner, I want a dedicated visual route for generating the default social preview image.</x:v>
      </x:c>
      <x:c r="E31" s="24" t="str">
        <x:v>`/social-card` renders the full social-card layout with brand mark and tagline, sets title `Jorgeasaurus Social Card`, and is marked noindex in generated static HTML.</x:v>
      </x:c>
      <x:c r="F31" s="24" t="str">
        <x:v>src/pages/SocialCard.tsx; scripts/generate-post-html.mjs</x:v>
      </x:c>
      <x:c r="G31" s="24" t="str">
        <x:v>P1</x:v>
      </x:c>
      <x:c r="H31" s="24" t="str">
        <x:v>Retest Passed</x:v>
      </x:c>
      <x:c r="I31" s="24" t="str">
        <x:v>Pass</x:v>
      </x:c>
      <x:c r="J31" s="24" t="str"/>
      <x:c r="K31" s="24" t="str">
        <x:v>Not Needed Yet</x:v>
      </x:c>
      <x:c r="L31" s="24" t="str">
        <x:v>Pass</x:v>
      </x:c>
      <x:c r="M31" s="27" t="n">
        <x:v>46201.97225672453</x:v>
      </x:c>
      <x:c r="N31" s="24" t="str">
        <x:v>Social-card route rendered and generated static HTML is noindex. Post-fix retest pass.</x:v>
      </x:c>
      <x:c r="O31" s="24" t="str">
        <x:v>Playwright route/static HTML test</x:v>
      </x:c>
    </x:row>
    <x:row r="32" ht="24" hidden="0" customHeight="1">
      <x:c r="A32" s="24" t="str">
        <x:v>US-027</x:v>
      </x:c>
      <x:c r="B32" s="24" t="str">
        <x:v>SEO</x:v>
      </x:c>
      <x:c r="C32" s="24" t="str">
        <x:v>RSS feed</x:v>
      </x:c>
      <x:c r="D32" s="24" t="str">
        <x:v>As a subscriber, I want an RSS feed for all posts.</x:v>
      </x:c>
      <x:c r="E32" s="24" t="str">
        <x:v>`public/rss.xml` is generated from the post catalog, sorted newest first, with title/link/guid/pubDate/description and category elements for tags.</x:v>
      </x:c>
      <x:c r="F32" s="24" t="str">
        <x:v>scripts/generate-rss.mjs; public/rss.xml; src/content/posts.ts</x:v>
      </x:c>
      <x:c r="G32" s="24" t="str">
        <x:v>P0</x:v>
      </x:c>
      <x:c r="H32" s="24" t="str">
        <x:v>Retest Passed</x:v>
      </x:c>
      <x:c r="I32" s="24" t="str">
        <x:v>Pass</x:v>
      </x:c>
      <x:c r="J32" s="24" t="str"/>
      <x:c r="K32" s="24" t="str">
        <x:v>Not Needed Yet</x:v>
      </x:c>
      <x:c r="L32" s="24" t="str">
        <x:v>Pass</x:v>
      </x:c>
      <x:c r="M32" s="27" t="n">
        <x:v>46201.97225672453</x:v>
      </x:c>
      <x:c r="N32" s="24" t="str">
        <x:v>RSS feed contained 26 items and tag categories. Post-fix retest pass.</x:v>
      </x:c>
      <x:c r="O32" s="24" t="str">
        <x:v>XML parse/count/order test</x:v>
      </x:c>
    </x:row>
    <x:row r="33" ht="24" hidden="0" customHeight="1">
      <x:c r="A33" s="24" t="str">
        <x:v>US-028</x:v>
      </x:c>
      <x:c r="B33" s="24" t="str">
        <x:v>SEO</x:v>
      </x:c>
      <x:c r="C33" s="24" t="str">
        <x:v>Sitemap</x:v>
      </x:c>
      <x:c r="D33" s="24" t="str">
        <x:v>As a search crawler, I want a sitemap containing primary pages and published posts.</x:v>
      </x:c>
      <x:c r="E33" s="24" t="str">
        <x:v>`public/sitemap.xml` includes root, about, projects, and every post slug with expected changefreq/priority and lastmod derived from post dates.</x:v>
      </x:c>
      <x:c r="F33" s="24" t="str">
        <x:v>scripts/generate-sitemap.mjs; public/sitemap.xml; src/content/posts.ts</x:v>
      </x:c>
      <x:c r="G33" s="24" t="str">
        <x:v>P0</x:v>
      </x:c>
      <x:c r="H33" s="24" t="str">
        <x:v>Retest Passed</x:v>
      </x:c>
      <x:c r="I33" s="24" t="str">
        <x:v>Pass</x:v>
      </x:c>
      <x:c r="J33" s="24" t="str"/>
      <x:c r="K33" s="24" t="str">
        <x:v>Not Needed Yet</x:v>
      </x:c>
      <x:c r="L33" s="24" t="str">
        <x:v>Pass</x:v>
      </x:c>
      <x:c r="M33" s="27" t="n">
        <x:v>46201.97225672453</x:v>
      </x:c>
      <x:c r="N33" s="24" t="str">
        <x:v>Sitemap contained static pages and all 26 post URLs. Post-fix retest pass.</x:v>
      </x:c>
      <x:c r="O33" s="24" t="str">
        <x:v>XML parse/count/url test</x:v>
      </x:c>
    </x:row>
    <x:row r="34" ht="36" hidden="0" customHeight="1">
      <x:c r="A34" s="24" t="str">
        <x:v>US-029</x:v>
      </x:c>
      <x:c r="B34" s="24" t="str">
        <x:v>SEO</x:v>
      </x:c>
      <x:c r="C34" s="24" t="str">
        <x:v>Static HTML metadata</x:v>
      </x:c>
      <x:c r="D34" s="24" t="str">
        <x:v>As the site owner, I want built static pages to have accurate social and canonical metadata.</x:v>
      </x:c>
      <x:c r="E34" s="24" t="str">
        <x:v>Build output creates static HTML for every post plus about/projects/social-card/404, applies per-post OpenGraph/Twitter/JSON-LD article metadata, and removes canonical where configured.</x:v>
      </x:c>
      <x:c r="F34" s="24" t="str">
        <x:v>scripts/generate-post-html.mjs; index.html</x:v>
      </x:c>
      <x:c r="G34" s="24" t="str">
        <x:v>P0</x:v>
      </x:c>
      <x:c r="H34" s="24" t="str">
        <x:v>Retest Passed</x:v>
      </x:c>
      <x:c r="I34" s="24" t="str">
        <x:v>Pass</x:v>
      </x:c>
      <x:c r="J34" s="24" t="str"/>
      <x:c r="K34" s="24" t="str">
        <x:v>Not Needed Yet</x:v>
      </x:c>
      <x:c r="L34" s="24" t="str">
        <x:v>Pass</x:v>
      </x:c>
      <x:c r="M34" s="27" t="n">
        <x:v>46201.97225672453</x:v>
      </x:c>
      <x:c r="N34" s="24" t="str">
        <x:v>Generated static HTML contained expected post, about, and 404 metadata. Post-fix retest pass.</x:v>
      </x:c>
      <x:c r="O34" s="24" t="str">
        <x:v>Build artifact HTML inspection</x:v>
      </x:c>
    </x:row>
    <x:row r="35" ht="24" hidden="0" customHeight="1">
      <x:c r="A35" s="24" t="str">
        <x:v>US-030</x:v>
      </x:c>
      <x:c r="B35" s="24" t="str">
        <x:v>SEO</x:v>
      </x:c>
      <x:c r="C35" s="24" t="str">
        <x:v>Robots file</x:v>
      </x:c>
      <x:c r="D35" s="24" t="str">
        <x:v>As a crawler, I want the site robots policy and sitemap location.</x:v>
      </x:c>
      <x:c r="E35" s="24" t="str">
        <x:v>`/robots.txt` allows all user agents and points to `https://jorgeasaur.us/sitemap.xml`.</x:v>
      </x:c>
      <x:c r="F35" s="24" t="str">
        <x:v>public/robots.txt</x:v>
      </x:c>
      <x:c r="G35" s="24" t="str">
        <x:v>P1</x:v>
      </x:c>
      <x:c r="H35" s="24" t="str">
        <x:v>Retest Passed</x:v>
      </x:c>
      <x:c r="I35" s="24" t="str">
        <x:v>Pass</x:v>
      </x:c>
      <x:c r="J35" s="24" t="str"/>
      <x:c r="K35" s="24" t="str">
        <x:v>Not Needed Yet</x:v>
      </x:c>
      <x:c r="L35" s="24" t="str">
        <x:v>Pass</x:v>
      </x:c>
      <x:c r="M35" s="27" t="n">
        <x:v>46201.97225672453</x:v>
      </x:c>
      <x:c r="N35" s="24" t="str">
        <x:v>robots.txt exposed allow rule and sitemap URL. Post-fix retest pass.</x:v>
      </x:c>
      <x:c r="O35" s="24" t="str">
        <x:v>Static asset assertion</x:v>
      </x:c>
    </x:row>
    <x:row r="36" ht="36" hidden="0" customHeight="1">
      <x:c r="A36" s="24" t="str">
        <x:v>US-031</x:v>
      </x:c>
      <x:c r="B36" s="24" t="str">
        <x:v>Visual Shell</x:v>
      </x:c>
      <x:c r="C36" s="24" t="str">
        <x:v>Wallpaper and glass UI</x:v>
      </x:c>
      <x:c r="D36" s="24" t="str">
        <x:v>As a visitor, I want the site to keep a cohesive forest/glass visual system.</x:v>
      </x:c>
      <x:c r="E36" s="24" t="str">
        <x:v>Wallpaper stage is aria-hidden, fixed behind content, and shared glass surfaces render without blocking pointer interactions or page content.</x:v>
      </x:c>
      <x:c r="F36" s="24" t="str">
        <x:v>src/components/WallpaperStage.tsx; src/hooks/useLiquidGlassSurface.ts; src/styles/App.css</x:v>
      </x:c>
      <x:c r="G36" s="24" t="str">
        <x:v>P1</x:v>
      </x:c>
      <x:c r="H36" s="24" t="str">
        <x:v>Retest Passed</x:v>
      </x:c>
      <x:c r="I36" s="24" t="str">
        <x:v>Pass</x:v>
      </x:c>
      <x:c r="J36" s="24" t="str"/>
      <x:c r="K36" s="24" t="str">
        <x:v>Not Needed Yet</x:v>
      </x:c>
      <x:c r="L36" s="24" t="str">
        <x:v>Pass</x:v>
      </x:c>
      <x:c r="M36" s="27" t="n">
        <x:v>46201.97225672453</x:v>
      </x:c>
      <x:c r="N36" s="24" t="str">
        <x:v>Wallpaper stage was noninteractive and hidden from assistive technology. Post-fix retest pass.</x:v>
      </x:c>
      <x:c r="O36" s="24" t="str">
        <x:v>Playwright screenshot/DOM test</x:v>
      </x:c>
    </x:row>
    <x:row r="37" ht="36" hidden="0" customHeight="1">
      <x:c r="A37" s="24" t="str">
        <x:v>US-032</x:v>
      </x:c>
      <x:c r="B37" s="24" t="str">
        <x:v>Visual Shell</x:v>
      </x:c>
      <x:c r="C37" s="24" t="str">
        <x:v>Liquid glass lifecycle</x:v>
      </x:c>
      <x:c r="D37" s="24" t="str">
        <x:v>As a visitor, I want glass effects to enhance the UI without causing resource leaks.</x:v>
      </x:c>
      <x:c r="E37" s="24" t="str">
        <x:v>Glass surfaces only activate when WebGL is supported and intersecting, reset page snapshot on path changes, observe resize, and destroy observers/containers on cleanup.</x:v>
      </x:c>
      <x:c r="F37" s="24" t="str">
        <x:v>src/hooks/useLiquidGlassSurface.ts; src/vendor/liquid-glass-js/container.js</x:v>
      </x:c>
      <x:c r="G37" s="24" t="str">
        <x:v>P1</x:v>
      </x:c>
      <x:c r="H37" s="24" t="str">
        <x:v>Retest Passed</x:v>
      </x:c>
      <x:c r="I37" s="24" t="str">
        <x:v>Pass</x:v>
      </x:c>
      <x:c r="J37" s="24" t="str"/>
      <x:c r="K37" s="24" t="str">
        <x:v>Not Needed Yet</x:v>
      </x:c>
      <x:c r="L37" s="24" t="str">
        <x:v>Pass</x:v>
      </x:c>
      <x:c r="M37" s="27" t="n">
        <x:v>46201.97225672453</x:v>
      </x:c>
      <x:c r="N37" s="24" t="str">
        <x:v>Liquid glass activated 2 surfaces without severe console/WebGL errors. Post-fix retest pass.</x:v>
      </x:c>
      <x:c r="O37" s="24" t="str">
        <x:v>Browser console/resource smoke test</x:v>
      </x:c>
    </x:row>
    <x:row r="38" ht="36" hidden="0" customHeight="1">
      <x:c r="A38" s="24" t="str">
        <x:v>US-033</x:v>
      </x:c>
      <x:c r="B38" s="24" t="str">
        <x:v>Responsive UX</x:v>
      </x:c>
      <x:c r="C38" s="24" t="str">
        <x:v>Responsive layout</x:v>
      </x:c>
      <x:c r="D38" s="24" t="str">
        <x:v>As a mobile or desktop visitor, I want all primary pages to fit the viewport cleanly.</x:v>
      </x:c>
      <x:c r="E38" s="24" t="str">
        <x:v>Home, projects, about, post, not-found, and social-card pages avoid horizontal overflow, keep text readable, and preserve reachable navigation at desktop and mobile widths.</x:v>
      </x:c>
      <x:c r="F38" s="24" t="str">
        <x:v>src/styles/App.css; src/pages/*.tsx</x:v>
      </x:c>
      <x:c r="G38" s="24" t="str">
        <x:v>P0</x:v>
      </x:c>
      <x:c r="H38" s="24" t="str">
        <x:v>Retest Passed</x:v>
      </x:c>
      <x:c r="I38" s="24" t="str">
        <x:v>Pass</x:v>
      </x:c>
      <x:c r="J38" s="24" t="str"/>
      <x:c r="K38" s="24" t="str">
        <x:v>Not Needed Yet</x:v>
      </x:c>
      <x:c r="L38" s="24" t="str">
        <x:v>Pass</x:v>
      </x:c>
      <x:c r="M38" s="27" t="n">
        <x:v>46201.97225672453</x:v>
      </x:c>
      <x:c r="N38" s="24" t="str">
        <x:v>Primary routes had no horizontal overflow at desktop and mobile widths. Post-fix retest pass.</x:v>
      </x:c>
      <x:c r="O38" s="24" t="str">
        <x:v>Playwright viewport sweep</x:v>
      </x:c>
    </x:row>
    <x:row r="39" ht="36" hidden="0" customHeight="1">
      <x:c r="A39" s="24" t="str">
        <x:v>US-034</x:v>
      </x:c>
      <x:c r="B39" s="24" t="str">
        <x:v>Accessibility</x:v>
      </x:c>
      <x:c r="C39" s="24" t="str">
        <x:v>Accessible labels and decorative icons</x:v>
      </x:c>
      <x:c r="D39" s="24" t="str">
        <x:v>As a keyboard or screen-reader user, I want controls and links to have usable names.</x:v>
      </x:c>
      <x:c r="E39" s="24" t="str">
        <x:v>Primary nav has an aria label, icon-only links have accessible labels, decorative SVGs are aria-hidden, project/tag groups have labels, dialogs and image buttons have explicit labels, and focus-visible styles are present.</x:v>
      </x:c>
      <x:c r="F39" s="24" t="str">
        <x:v>src/components/*.tsx; src/pages/*.tsx; src/styles/App.css</x:v>
      </x:c>
      <x:c r="G39" s="24" t="str">
        <x:v>P0</x:v>
      </x:c>
      <x:c r="H39" s="24" t="str">
        <x:v>Retest Passed</x:v>
      </x:c>
      <x:c r="I39" s="24" t="str">
        <x:v>Pass</x:v>
      </x:c>
      <x:c r="J39" s="24" t="str"/>
      <x:c r="K39" s="24" t="str">
        <x:v>Not Needed Yet</x:v>
      </x:c>
      <x:c r="L39" s="24" t="str">
        <x:v>Pass</x:v>
      </x:c>
      <x:c r="M39" s="27" t="n">
        <x:v>46201.97225672453</x:v>
      </x:c>
      <x:c r="N39" s="24" t="str">
        <x:v>Accessible labels, decorative icon hiding, image labels, and focus-visible CSS were present. Post-fix retest pass.</x:v>
      </x:c>
      <x:c r="O39" s="24" t="str">
        <x:v>Playwright accessibility/DOM assertion</x:v>
      </x:c>
    </x:row>
    <x:row r="40" ht="36" hidden="0" customHeight="1">
      <x:c r="A40" s="24" t="str">
        <x:v>US-035</x:v>
      </x:c>
      <x:c r="B40" s="24" t="str">
        <x:v>Data Formatting</x:v>
      </x:c>
      <x:c r="C40" s="24" t="str">
        <x:v>Post date formatting</x:v>
      </x:c>
      <x:c r="D40" s="24" t="str">
        <x:v>As a reader, I want post dates to be readable and resilient.</x:v>
      </x:c>
      <x:c r="E40" s="24" t="str">
        <x:v>YYYY-MM-DD post dates render as localized long dates, sorting uses local date parsing for date-only values, and invalid date strings fall back to the original value.</x:v>
      </x:c>
      <x:c r="F40" s="24" t="str">
        <x:v>src/lib/posts.ts</x:v>
      </x:c>
      <x:c r="G40" s="24" t="str">
        <x:v>P1</x:v>
      </x:c>
      <x:c r="H40" s="24" t="str">
        <x:v>Retest Passed</x:v>
      </x:c>
      <x:c r="I40" s="24" t="str">
        <x:v>Pass</x:v>
      </x:c>
      <x:c r="J40" s="24" t="str"/>
      <x:c r="K40" s="24" t="str">
        <x:v>Not Needed Yet</x:v>
      </x:c>
      <x:c r="L40" s="24" t="str">
        <x:v>Pass</x:v>
      </x:c>
      <x:c r="M40" s="27" t="n">
        <x:v>46201.97225672453</x:v>
      </x:c>
      <x:c r="N40" s="24" t="str">
        <x:v>Date-only metadata formatted in UI and invalid-date fallback exists in helper. Post-fix retest pass.</x:v>
      </x:c>
      <x:c r="O40" s="24" t="str">
        <x:v>Unit-level helper test</x:v>
      </x:c>
    </x:row>
    <x:row r="41" ht="24" hidden="0" customHeight="1">
      <x:c r="A41" s="24" t="str">
        <x:v>US-036</x:v>
      </x:c>
      <x:c r="B41" s="24" t="str">
        <x:v>Build</x:v>
      </x:c>
      <x:c r="C41" s="24" t="str">
        <x:v>Production build pipeline</x:v>
      </x:c>
      <x:c r="D41" s="24" t="str">
        <x:v>As the site owner, I want build commands to generate feeds, sitemap, app assets, and static metadata in one repeatable path.</x:v>
      </x:c>
      <x:c r="E41" s="24" t="str">
        <x:v>`npm run build` runs RSS generation, sitemap generation, TypeScript build, Vite build, and post/static HTML generation successfully.</x:v>
      </x:c>
      <x:c r="F41" s="24" t="str">
        <x:v>package.json; scripts/*.mjs</x:v>
      </x:c>
      <x:c r="G41" s="24" t="str">
        <x:v>P0</x:v>
      </x:c>
      <x:c r="H41" s="24" t="str">
        <x:v>Retest Passed</x:v>
      </x:c>
      <x:c r="I41" s="24" t="str">
        <x:v>Pass</x:v>
      </x:c>
      <x:c r="J41" s="24" t="str"/>
      <x:c r="K41" s="24" t="str">
        <x:v>Not Needed Yet</x:v>
      </x:c>
      <x:c r="L41" s="24" t="str">
        <x:v>Pass</x:v>
      </x:c>
      <x:c r="M41" s="27" t="n">
        <x:v>46201.97225672453</x:v>
      </x:c>
      <x:c r="N41" s="24" t="str">
        <x:v>Build artifacts existed after successful npm run build. Post-fix retest pass.</x:v>
      </x:c>
      <x:c r="O41" s="24" t="str">
        <x:v>Command verification</x:v>
      </x:c>
    </x:row>
    <x:row r="42" ht="24" hidden="0" customHeight="1">
      <x:c r="A42" s="24" t="str">
        <x:v>US-037</x:v>
      </x:c>
      <x:c r="B42" s="24" t="str">
        <x:v>Analytics</x:v>
      </x:c>
      <x:c r="C42" s="24" t="str">
        <x:v>Vercel Analytics mount</x:v>
      </x:c>
      <x:c r="D42" s="24" t="str">
        <x:v>As the site owner, I want Vercel Analytics included without changing user navigation.</x:v>
      </x:c>
      <x:c r="E42" s="24" t="str">
        <x:v>`Analytics` from `@vercel/analytics/react` is mounted once outside the router and does not block route rendering.</x:v>
      </x:c>
      <x:c r="F42" s="24" t="str">
        <x:v>src/App.tsx; package.json</x:v>
      </x:c>
      <x:c r="G42" s="24" t="str">
        <x:v>P2</x:v>
      </x:c>
      <x:c r="H42" s="24" t="str">
        <x:v>Retest Passed</x:v>
      </x:c>
      <x:c r="I42" s="24" t="str">
        <x:v>Pass</x:v>
      </x:c>
      <x:c r="J42" s="24" t="str"/>
      <x:c r="K42" s="24" t="str">
        <x:v>Not Needed Yet</x:v>
      </x:c>
      <x:c r="L42" s="24" t="str">
        <x:v>Pass</x:v>
      </x:c>
      <x:c r="M42" s="27" t="n">
        <x:v>46201.97225672453</x:v>
      </x:c>
      <x:c r="N42" s="24" t="str">
        <x:v>Vercel Analytics import and mount are present. Post-fix retest pass.</x:v>
      </x:c>
      <x:c r="O42" s="24" t="str">
        <x:v>DOM/build smoke test</x:v>
      </x:c>
    </x:row>
    <x:row r="43" ht="36" hidden="0" customHeight="1">
      <x:c r="A43" s="24" t="str">
        <x:v>US-038</x:v>
      </x:c>
      <x:c r="B43" s="24" t="str">
        <x:v>Content Integrity</x:v>
      </x:c>
      <x:c r="C43" s="24" t="str">
        <x:v>MDX metadata coverage</x:v>
      </x:c>
      <x:c r="D43" s="24" t="str">
        <x:v>As the site owner, I want every MDX content file represented in the published post catalog.</x:v>
      </x:c>
      <x:c r="E43" s="24" t="str">
        <x:v>Every `src/content/*.mdx` slug has a matching `src/content/posts.ts` metadata entry, and every metadata slug has a matching MDX file so content is routable, listed, syndicated, and included in the sitemap.</x:v>
      </x:c>
      <x:c r="F43" s="24" t="str">
        <x:v>src/content/*.mdx; src/content/posts.ts</x:v>
      </x:c>
      <x:c r="G43" s="24" t="str">
        <x:v>P0</x:v>
      </x:c>
      <x:c r="H43" s="24" t="str">
        <x:v>Retest Passed</x:v>
      </x:c>
      <x:c r="I43" s="24" t="str">
        <x:v>Pass</x:v>
      </x:c>
      <x:c r="J43" s="24" t="str"/>
      <x:c r="K43" s="24" t="str">
        <x:v>Not Needed Yet</x:v>
      </x:c>
      <x:c r="L43" s="24" t="str">
        <x:v>Pass</x:v>
      </x:c>
      <x:c r="M43" s="27" t="n">
        <x:v>46201.97225672453</x:v>
      </x:c>
      <x:c r="N43" s="24" t="str">
        <x:v>All 26 MDX files matched metadata slugs. Post-fix retest pass.</x:v>
      </x:c>
      <x:c r="O43" s="24" t="str">
        <x:v>Source catalog integrity test</x:v>
      </x:c>
    </x:row>
    <x:row r="44" ht="36" hidden="0" customHeight="1">
      <x:c r="A44" s="24" t="str">
        <x:v>US-039</x:v>
      </x:c>
      <x:c r="B44" s="24" t="str">
        <x:v>Blog Posts</x:v>
      </x:c>
      <x:c r="C44" s="24" t="str">
        <x:v>Rich MDX article rendering</x:v>
      </x:c>
      <x:c r="D44" s="24" t="str">
        <x:v>As a reader, I want long-form MDX content to render headings, lists, links, blockquotes, and syntax-highlighted code cleanly.</x:v>
      </x:c>
      <x:c r="E44" s="24" t="str">
        <x:v>Article content renders MDX headings, paragraphs, lists, links, blockquotes, inline code, fenced code blocks, and highlight classes inside the styled `.post-content` region without horizontal page overflow.</x:v>
      </x:c>
      <x:c r="F44" s="24" t="str">
        <x:v>src/pages/Post.tsx; src/content/*.mdx; src/styles/App.css</x:v>
      </x:c>
      <x:c r="G44" s="24" t="str">
        <x:v>P0</x:v>
      </x:c>
      <x:c r="H44" s="24" t="str">
        <x:v>Retest Passed</x:v>
      </x:c>
      <x:c r="I44" s="24" t="str">
        <x:v>Pass</x:v>
      </x:c>
      <x:c r="J44" s="24" t="str"/>
      <x:c r="K44" s="24" t="str">
        <x:v>Not Needed Yet</x:v>
      </x:c>
      <x:c r="L44" s="24" t="str">
        <x:v>Pass</x:v>
      </x:c>
      <x:c r="M44" s="27" t="n">
        <x:v>46201.97225672453</x:v>
      </x:c>
      <x:c r="N44" s="24" t="str">
        <x:v>Rich MDX headings, lists, highlighted code, and article layout rendered cleanly. Post-fix retest pass.</x:v>
      </x:c>
      <x:c r="O44" s="24" t="str">
        <x:v>Playwright article content test</x:v>
      </x:c>
    </x:row>
    <x:row r="45" ht="36" hidden="0" customHeight="1">
      <x:c r="A45" s="25" t="str">
        <x:v>US-040</x:v>
      </x:c>
      <x:c r="B45" s="25" t="str">
        <x:v>Blog Posts</x:v>
      </x:c>
      <x:c r="C45" s="25" t="str">
        <x:v>Embedded article media</x:v>
      </x:c>
      <x:c r="D45" s="25" t="str">
        <x:v>As a reader, I want embedded article video and inline figures to render accessibly and responsively.</x:v>
      </x:c>
      <x:c r="E45" s="25" t="str">
        <x:v>The Intune Hydration Kit post renders the video figure with controls, poster, source type, accessible label, caption, and an inline figure image without causing horizontal overflow.</x:v>
      </x:c>
      <x:c r="F45" s="25" t="str">
        <x:v>src/content/intune-hydration-kit-has-a-tui-now.mdx; src/styles/App.css</x:v>
      </x:c>
      <x:c r="G45" s="25" t="str">
        <x:v>P1</x:v>
      </x:c>
      <x:c r="H45" s="25" t="str">
        <x:v>Retest Passed</x:v>
      </x:c>
      <x:c r="I45" s="25" t="str">
        <x:v>Pass</x:v>
      </x:c>
      <x:c r="J45" s="25" t="str"/>
      <x:c r="K45" s="25" t="str">
        <x:v>Not Needed Yet</x:v>
      </x:c>
      <x:c r="L45" s="25" t="str">
        <x:v>Pass</x:v>
      </x:c>
      <x:c r="M45" s="28" t="n">
        <x:v>46201.97225672453</x:v>
      </x:c>
      <x:c r="N45" s="25" t="str">
        <x:v>Embedded video and inline figure rendered with controls, labels, caption, source, and no overflow. Post-fix retest pass.</x:v>
      </x:c>
      <x:c r="O45" s="25" t="str">
        <x:v>Playwright media render test</x:v>
      </x:c>
    </x:row>
  </x:sheetData>
  <x:mergeCells>
    <x:mergeCell ref="A1:O1"/>
    <x:mergeCell ref="A2:O2"/>
  </x:mergeCells>
  <x:dataValidations count="5">
    <x:dataValidation type="list" sqref="G6:G45">
      <x:formula1>"P0,P1,P2"</x:formula1>
    </x:dataValidation>
    <x:dataValidation type="list" sqref="H6:H45">
      <x:formula1>"Ready for Test,Testing,Tested,Error Found,Fixed,Retest Passed,Won't Fix"</x:formula1>
    </x:dataValidation>
    <x:dataValidation type="list" sqref="I6:I45">
      <x:formula1>"Not Run,Pass,Fail,Blocked,Needs Review"</x:formula1>
    </x:dataValidation>
    <x:dataValidation type="list" sqref="K6:K45">
      <x:formula1>"Not Needed Yet,Needed,In Progress,Fixed,Won't Fix"</x:formula1>
    </x:dataValidation>
    <x:dataValidation type="list" sqref="L6:L45">
      <x:formula1>"Not Run,Pass,Fail,Blocked,Needs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8fd775180c4d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0" hidden="0" customWidth="1"/>
    <x:col min="5" max="5" width="70" hidden="0" customWidth="1"/>
    <x:col min="6" max="6" width="48" hidden="0" customWidth="1"/>
    <x:col min="7" max="7" width="58" hidden="0" customWidth="1"/>
  </x:cols>
  <x:sheetData>
    <x:row r="1" ht="19.200000762939453" hidden="0" customHeight="1">
      <x:c r="A1" s="4" t="str">
        <x:v>Issue Log</x:v>
      </x:c>
      <x:c r="B1" s="4" t="str">
        <x:v>Issue Log</x:v>
      </x:c>
      <x:c r="C1" s="4" t="str">
        <x:v>Issue Log</x:v>
      </x:c>
      <x:c r="D1" s="4" t="str">
        <x:v>Issue Log</x:v>
      </x:c>
      <x:c r="E1" s="4" t="str">
        <x:v>Issue Log</x:v>
      </x:c>
      <x:c r="F1" s="4" t="str">
        <x:v>Issue Log</x:v>
      </x:c>
      <x:c r="G1" s="4" t="str">
        <x:v>Issue Log</x:v>
      </x:c>
    </x:row>
    <x:row r="2" ht="15" hidden="0" customHeight="1">
      <x:c r="A2" s="9" t="str">
        <x:v>Errors found during the user-story testing loop and their fix/retest status.</x:v>
      </x:c>
      <x:c r="B2" s="9" t="str">
        <x:v>Errors found during the user-story testing loop and their fix/retest status.</x:v>
      </x:c>
      <x:c r="C2" s="9" t="str">
        <x:v>Errors found during the user-story testing loop and their fix/retest status.</x:v>
      </x:c>
      <x:c r="D2" s="9" t="str">
        <x:v>Errors found during the user-story testing loop and their fix/retest status.</x:v>
      </x:c>
      <x:c r="E2" s="9" t="str">
        <x:v>Errors found during the user-story testing loop and their fix/retest status.</x:v>
      </x:c>
      <x:c r="F2" s="9" t="str">
        <x:v>Errors found during the user-story testing loop and their fix/retest status.</x:v>
      </x:c>
      <x:c r="G2" s="9" t="str">
        <x:v>Errors found during the user-story testing loop and their fix/retest status.</x:v>
      </x:c>
    </x:row>
    <x:row r="3"/>
    <x:row r="4" ht="15" hidden="0" customHeight="1">
      <x:c r="A4" s="14" t="str">
        <x:v>Issue ID</x:v>
      </x:c>
      <x:c r="B4" s="14" t="str">
        <x:v>Story ID</x:v>
      </x:c>
      <x:c r="C4" s="14" t="str">
        <x:v>Status</x:v>
      </x:c>
      <x:c r="D4" s="14" t="str">
        <x:v>Severity</x:v>
      </x:c>
      <x:c r="E4" s="14" t="str">
        <x:v>Error / Observation</x:v>
      </x:c>
      <x:c r="F4" s="14" t="str">
        <x:v>Fix Applied</x:v>
      </x:c>
      <x:c r="G4" s="14" t="str">
        <x:v>Verification</x:v>
      </x:c>
    </x:row>
    <x:row r="5" ht="36" hidden="0" customHeight="1">
      <x:c r="A5" s="31" t="str">
        <x:v>ISS-001</x:v>
      </x:c>
      <x:c r="B5" s="31" t="str">
        <x:v>US-038</x:v>
      </x:c>
      <x:c r="C5" s="31" t="str">
        <x:v>Fixed</x:v>
      </x:c>
      <x:c r="D5" s="31" t="str">
        <x:v>P0</x:v>
      </x:c>
      <x:c r="E5" s="31" t="str">
        <x:v>`src/content/hello-world.mdx` existed without a matching `src/content/posts.ts` metadata entry, so the content was unreachable from the homepage list, direct post route, RSS, sitemap, and generated static HTML.</x:v>
      </x:c>
      <x:c r="F5" s="31" t="str">
        <x:v>Added the existing Hello, World post metadata to `src/content/posts.ts` without rewriting the MDX content.</x:v>
      </x:c>
      <x:c r="G5" s="31" t="str">
        <x:v>Post-fix 40-story Playwright retest passed; `hello-world` appears in generated RSS, sitemap, static HTML, and the Post Catalog sheet.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112ca282cf445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34" hidden="0" customWidth="1"/>
    <x:col min="5" max="5" width="14" hidden="0" customWidth="1"/>
  </x:cols>
  <x:sheetData>
    <x:row r="1" ht="19.200000762939453" hidden="0" customHeight="1">
      <x:c r="A1" s="4" t="str">
        <x:v>Source Inventory</x:v>
      </x:c>
      <x:c r="B1" s="4" t="str">
        <x:v>Source Inventory</x:v>
      </x:c>
      <x:c r="C1" s="4" t="str">
        <x:v>Source Inventory</x:v>
      </x:c>
      <x:c r="D1" s="4" t="str">
        <x:v>Source Inventory</x:v>
      </x:c>
      <x:c r="E1" s="4" t="str">
        <x:v>Source Inventory</x:v>
      </x:c>
    </x:row>
    <x:row r="2" ht="15" hidden="0" customHeight="1">
      <x:c r="A2" s="9" t="str">
        <x:v>Counts and routes gathered from the current codebase to anchor the user stories.</x:v>
      </x:c>
      <x:c r="B2" s="9" t="str">
        <x:v>Counts and routes gathered from the current codebase to anchor the user stories.</x:v>
      </x:c>
      <x:c r="C2" s="9" t="str">
        <x:v>Counts and routes gathered from the current codebase to anchor the user stories.</x:v>
      </x:c>
      <x:c r="D2" s="9" t="str">
        <x:v>Counts and routes gathered from the current codebase to anchor the user stories.</x:v>
      </x:c>
      <x:c r="E2" s="9" t="str">
        <x:v>Counts and routes gathered from the current codebase to anchor the user stories.</x:v>
      </x:c>
    </x:row>
    <x:row r="3"/>
    <x:row r="4" ht="15" hidden="0" customHeight="1">
      <x:c r="A4" s="14" t="str">
        <x:v>Type</x:v>
      </x:c>
      <x:c r="B4" s="14" t="str">
        <x:v>Name</x:v>
      </x:c>
      <x:c r="C4" s="14" t="str">
        <x:v>Expected Behavior</x:v>
      </x:c>
      <x:c r="D4" s="14" t="str">
        <x:v>Source</x:v>
      </x:c>
      <x:c r="E4" s="14" t="str">
        <x:v>Status</x:v>
      </x:c>
    </x:row>
    <x:row r="5" ht="15" hidden="0" customHeight="1">
      <x:c r="A5" s="23" t="str">
        <x:v>Route</x:v>
      </x:c>
      <x:c r="B5" s="23" t="str">
        <x:v>/</x:v>
      </x:c>
      <x:c r="C5" s="23" t="str">
        <x:v>Homepage route renders Home page.</x:v>
      </x:c>
      <x:c r="D5" s="23" t="str">
        <x:v>src/App.tsx</x:v>
      </x:c>
      <x:c r="E5" s="23" t="str">
        <x:v>Tracked</x:v>
      </x:c>
    </x:row>
    <x:row r="6" ht="15" hidden="0" customHeight="1">
      <x:c r="A6" s="24" t="str">
        <x:v>Route</x:v>
      </x:c>
      <x:c r="B6" s="24" t="str">
        <x:v>/projects</x:v>
      </x:c>
      <x:c r="C6" s="24" t="str">
        <x:v>Projects route renders Projects page.</x:v>
      </x:c>
      <x:c r="D6" s="24" t="str">
        <x:v>src/App.tsx</x:v>
      </x:c>
      <x:c r="E6" s="24" t="str">
        <x:v>Tracked</x:v>
      </x:c>
    </x:row>
    <x:row r="7" ht="15" hidden="0" customHeight="1">
      <x:c r="A7" s="24" t="str">
        <x:v>Route</x:v>
      </x:c>
      <x:c r="B7" s="24" t="str">
        <x:v>/about</x:v>
      </x:c>
      <x:c r="C7" s="24" t="str">
        <x:v>About route renders profile page.</x:v>
      </x:c>
      <x:c r="D7" s="24" t="str">
        <x:v>src/App.tsx</x:v>
      </x:c>
      <x:c r="E7" s="24" t="str">
        <x:v>Tracked</x:v>
      </x:c>
    </x:row>
    <x:row r="8" ht="15" hidden="0" customHeight="1">
      <x:c r="A8" s="24" t="str">
        <x:v>Route</x:v>
      </x:c>
      <x:c r="B8" s="24" t="str">
        <x:v>/social-card</x:v>
      </x:c>
      <x:c r="C8" s="24" t="str">
        <x:v>Social-card route renders preview page.</x:v>
      </x:c>
      <x:c r="D8" s="24" t="str">
        <x:v>src/App.tsx</x:v>
      </x:c>
      <x:c r="E8" s="24" t="str">
        <x:v>Tracked</x:v>
      </x:c>
    </x:row>
    <x:row r="9" ht="15" hidden="0" customHeight="1">
      <x:c r="A9" s="24" t="str">
        <x:v>Route</x:v>
      </x:c>
      <x:c r="B9" s="24" t="str">
        <x:v>/post/:slug</x:v>
      </x:c>
      <x:c r="C9" s="24" t="str">
        <x:v>Post route renders MDX post by slug.</x:v>
      </x:c>
      <x:c r="D9" s="24" t="str">
        <x:v>src/App.tsx</x:v>
      </x:c>
      <x:c r="E9" s="24" t="str">
        <x:v>Tracked</x:v>
      </x:c>
    </x:row>
    <x:row r="10" ht="15" hidden="0" customHeight="1">
      <x:c r="A10" s="24" t="str">
        <x:v>Route</x:v>
      </x:c>
      <x:c r="B10" s="24" t="str">
        <x:v>/:slug</x:v>
      </x:c>
      <x:c r="C10" s="24" t="str">
        <x:v>Clean slug route renders MDX post by slug.</x:v>
      </x:c>
      <x:c r="D10" s="24" t="str">
        <x:v>src/App.tsx</x:v>
      </x:c>
      <x:c r="E10" s="24" t="str">
        <x:v>Tracked</x:v>
      </x:c>
    </x:row>
    <x:row r="11" ht="15" hidden="0" customHeight="1">
      <x:c r="A11" s="24" t="str">
        <x:v>Route</x:v>
      </x:c>
      <x:c r="B11" s="24" t="str">
        <x:v>/untitled</x:v>
      </x:c>
      <x:c r="C11" s="24" t="str">
        <x:v>Legacy route redirects to the Intune device queries post.</x:v>
      </x:c>
      <x:c r="D11" s="24" t="str">
        <x:v>src/App.tsx</x:v>
      </x:c>
      <x:c r="E11" s="24" t="str">
        <x:v>Tracked</x:v>
      </x:c>
    </x:row>
    <x:row r="12" ht="15" hidden="0" customHeight="1">
      <x:c r="A12" s="24" t="str">
        <x:v>Route</x:v>
      </x:c>
      <x:c r="B12" s="24" t="str">
        <x:v>*</x:v>
      </x:c>
      <x:c r="C12" s="24" t="str">
        <x:v>Unknown routes render NotFound.</x:v>
      </x:c>
      <x:c r="D12" s="24" t="str">
        <x:v>src/App.tsx</x:v>
      </x:c>
      <x:c r="E12" s="24" t="str">
        <x:v>Tracked</x:v>
      </x:c>
    </x:row>
    <x:row r="13" ht="15" hidden="0" customHeight="1">
      <x:c r="A13" s="24" t="str">
        <x:v>Data</x:v>
      </x:c>
      <x:c r="B13" s="24" t="str">
        <x:v>Posts</x:v>
      </x:c>
      <x:c r="C13" s="24" t="str">
        <x:v>26 published post metadata records.</x:v>
      </x:c>
      <x:c r="D13" s="24" t="str">
        <x:v>src/content/posts.ts</x:v>
      </x:c>
      <x:c r="E13" s="24" t="str">
        <x:v>Tracked</x:v>
      </x:c>
    </x:row>
    <x:row r="14" ht="15" hidden="0" customHeight="1">
      <x:c r="A14" s="24" t="str">
        <x:v>Data</x:v>
      </x:c>
      <x:c r="B14" s="24" t="str">
        <x:v>Unique tags</x:v>
      </x:c>
      <x:c r="C14" s="24" t="str">
        <x:v>43 unique tags across posts.</x:v>
      </x:c>
      <x:c r="D14" s="24" t="str">
        <x:v>src/content/posts.ts</x:v>
      </x:c>
      <x:c r="E14" s="24" t="str">
        <x:v>Tracked</x:v>
      </x:c>
    </x:row>
    <x:row r="15" ht="15" hidden="0" customHeight="1">
      <x:c r="A15" s="24" t="str">
        <x:v>Data</x:v>
      </x:c>
      <x:c r="B15" s="24" t="str">
        <x:v>Projects</x:v>
      </x:c>
      <x:c r="C15" s="24" t="str">
        <x:v>20 project cards: 6 live and 14 repo/experiment.</x:v>
      </x:c>
      <x:c r="D15" s="24" t="str">
        <x:v>src/pages/Projects.tsx</x:v>
      </x:c>
      <x:c r="E15" s="24" t="str">
        <x:v>Tracked</x:v>
      </x:c>
    </x:row>
    <x:row r="16" ht="15" hidden="0" customHeight="1">
      <x:c r="A16" s="24" t="str">
        <x:v>Build artifact</x:v>
      </x:c>
      <x:c r="B16" s="24" t="str">
        <x:v>RSS</x:v>
      </x:c>
      <x:c r="C16" s="24" t="str">
        <x:v>RSS feed generated from post catalog.</x:v>
      </x:c>
      <x:c r="D16" s="24" t="str">
        <x:v>scripts/generate-rss.mjs</x:v>
      </x:c>
      <x:c r="E16" s="24" t="str">
        <x:v>Tracked</x:v>
      </x:c>
    </x:row>
    <x:row r="17" ht="15" hidden="0" customHeight="1">
      <x:c r="A17" s="25" t="str">
        <x:v>Build artifact</x:v>
      </x:c>
      <x:c r="B17" s="25" t="str">
        <x:v>Sitemap</x:v>
      </x:c>
      <x:c r="C17" s="25" t="str">
        <x:v>Sitemap generated from static pages and posts.</x:v>
      </x:c>
      <x:c r="D17" s="25" t="str">
        <x:v>scripts/generate-sitemap.mjs</x:v>
      </x:c>
      <x:c r="E17" s="25" t="str">
        <x:v>Tracked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79355d9bb6840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4" hidden="0" customWidth="1"/>
    <x:col min="3" max="3" width="14" hidden="0" customWidth="1"/>
    <x:col min="4" max="4" width="44" hidden="0" customWidth="1"/>
    <x:col min="5" max="5" width="14" hidden="0" customWidth="1"/>
    <x:col min="6" max="6" width="62" hidden="0" customWidth="1"/>
  </x:cols>
  <x:sheetData>
    <x:row r="1" ht="19.200000762939453" hidden="0" customHeight="1">
      <x:c r="A1" s="4" t="str">
        <x:v>Post Catalog</x:v>
      </x:c>
      <x:c r="B1" s="4" t="str">
        <x:v>Post Catalog</x:v>
      </x:c>
      <x:c r="C1" s="4" t="str">
        <x:v>Post Catalog</x:v>
      </x:c>
      <x:c r="D1" s="4" t="str">
        <x:v>Post Catalog</x:v>
      </x:c>
      <x:c r="E1" s="4" t="str">
        <x:v>Post Catalog</x:v>
      </x:c>
      <x:c r="F1" s="4" t="str">
        <x:v>Post Catalog</x:v>
      </x:c>
    </x:row>
    <x:row r="2" ht="15" hidden="0" customHeight="1">
      <x:c r="A2" s="9" t="str">
        <x:v>Published posts parsed from src/content/posts.ts for later data-driven route, feed, and sitemap tests.</x:v>
      </x:c>
      <x:c r="B2" s="9" t="str">
        <x:v>Published posts parsed from src/content/posts.ts for later data-driven route, feed, and sitemap tests.</x:v>
      </x:c>
      <x:c r="C2" s="9" t="str">
        <x:v>Published posts parsed from src/content/posts.ts for later data-driven route, feed, and sitemap tests.</x:v>
      </x:c>
      <x:c r="D2" s="9" t="str">
        <x:v>Published posts parsed from src/content/posts.ts for later data-driven route, feed, and sitemap tests.</x:v>
      </x:c>
      <x:c r="E2" s="9" t="str">
        <x:v>Published posts parsed from src/content/posts.ts for later data-driven route, feed, and sitemap tests.</x:v>
      </x:c>
      <x:c r="F2" s="9" t="str">
        <x:v>Published posts parsed from src/content/posts.ts for later data-driven route, feed, and sitemap tests.</x:v>
      </x:c>
    </x:row>
    <x:row r="3"/>
    <x:row r="4" ht="15" hidden="0" customHeight="1">
      <x:c r="A4" s="14" t="str">
        <x:v>Slug</x:v>
      </x:c>
      <x:c r="B4" s="14" t="str">
        <x:v>Title</x:v>
      </x:c>
      <x:c r="C4" s="14" t="str">
        <x:v>Date</x:v>
      </x:c>
      <x:c r="D4" s="14" t="str">
        <x:v>Tags</x:v>
      </x:c>
      <x:c r="E4" s="14" t="str">
        <x:v>Social Image</x:v>
      </x:c>
      <x:c r="F4" s="14" t="str">
        <x:v>Description</x:v>
      </x:c>
    </x:row>
    <x:row r="5" ht="24" hidden="0" customHeight="1">
      <x:c r="A5" s="23" t="str">
        <x:v>make-yourself-obsolete</x:v>
      </x:c>
      <x:c r="B5" s="23" t="str">
        <x:v>Make Yourself Obsolete</x:v>
      </x:c>
      <x:c r="C5" s="23" t="str">
        <x:v>2026-06-11</x:v>
      </x:c>
      <x:c r="D5" s="23" t="str">
        <x:v>career, engineering, automation, growth</x:v>
      </x:c>
      <x:c r="E5" s="23" t="str">
        <x:v>Yes</x:v>
      </x:c>
      <x:c r="F5" s="23" t="str">
        <x:v>A practical career note on turning repeated work into automation, documentation, and room for harder problems.</x:v>
      </x:c>
    </x:row>
    <x:row r="6" ht="24" hidden="0" customHeight="1">
      <x:c r="A6" s="24" t="str">
        <x:v>intune-gotchas-every-admin-learns-eventually</x:v>
      </x:c>
      <x:c r="B6" s="24" t="str">
        <x:v>Intune Gotchas Every Admin Learns Eventually</x:v>
      </x:c>
      <x:c r="C6" s="24" t="str">
        <x:v>2026-06-10</x:v>
      </x:c>
      <x:c r="D6" s="24" t="str">
        <x:v>intune, endpoint-management, windows, security, device-management</x:v>
      </x:c>
      <x:c r="E6" s="24" t="str">
        <x:v>Yes</x:v>
      </x:c>
      <x:c r="F6" s="24" t="str">
        <x:v>The Microsoft Intune behaviors that surprise admins most often, why they happen, and how to avoid getting burned by them.</x:v>
      </x:c>
    </x:row>
    <x:row r="7" ht="24" hidden="0" customHeight="1">
      <x:c r="A7" s="24" t="str">
        <x:v>intune-hydration-kit-has-a-tui-now</x:v>
      </x:c>
      <x:c r="B7" s="24" t="str">
        <x:v>Intune Hydration Kit Has a TUI Now</x:v>
      </x:c>
      <x:c r="C7" s="24" t="str">
        <x:v>2026-06-01</x:v>
      </x:c>
      <x:c r="D7" s="24" t="str">
        <x:v>powershell, intune, automation, microsoft-graph, endpoint-management</x:v>
      </x:c>
      <x:c r="E7" s="24" t="str">
        <x:v>Yes</x:v>
      </x:c>
      <x:c r="F7" s="24" t="str">
        <x:v>The v1.0.0 update makes Invoke-IntuneHydration safer to run by putting dry-run, scope, platform, and confirmation prompts in the default path.</x:v>
      </x:c>
    </x:row>
    <x:row r="8" ht="24" hidden="0" customHeight="1">
      <x:c r="A8" s="24" t="str">
        <x:v>mmsmoa-2026-endpoint-management-is-engineering-now</x:v>
      </x:c>
      <x:c r="B8" s="24" t="str">
        <x:v>MMSMOA 2026: Endpoint Management Is an Engineering Discipline Now</x:v>
      </x:c>
      <x:c r="C8" s="24" t="str">
        <x:v>2026-05-30</x:v>
      </x:c>
      <x:c r="D8" s="24" t="str">
        <x:v>intune, endpoint-management, powershell, automation, windows, security, conference</x:v>
      </x:c>
      <x:c r="E8" s="24" t="str">
        <x:v>Yes</x:v>
      </x:c>
      <x:c r="F8" s="24" t="str">
        <x:v>A practical MMSMOA recap for Intune, Windows, security, PowerShell, and automation work that needs to survive real operations.</x:v>
      </x:c>
    </x:row>
    <x:row r="9" ht="24" hidden="0" customHeight="1">
      <x:c r="A9" s="24" t="str">
        <x:v>reusable-intune-remediation-template</x:v>
      </x:c>
      <x:c r="B9" s="24" t="str">
        <x:v>Build a Reusable Intune Remediation Template</x:v>
      </x:c>
      <x:c r="C9" s="24" t="str">
        <x:v>2026-05-25</x:v>
      </x:c>
      <x:c r="D9" s="24" t="str">
        <x:v>powershell, intune, remediations, windows, scripting</x:v>
      </x:c>
      <x:c r="E9" s="24" t="str">
        <x:v>Yes</x:v>
      </x:c>
      <x:c r="F9" s="24" t="str">
        <x:v>A reusable PowerShell pattern for Intune Remediations with predictable exit codes, logging, 64-bit handling, and portal-friendly output.</x:v>
      </x:c>
    </x:row>
    <x:row r="10" ht="24" hidden="0" customHeight="1">
      <x:c r="A10" s="24" t="str">
        <x:v>creating-dynamic-device-model-groups-in-entra-with-powershell</x:v>
      </x:c>
      <x:c r="B10" s="24" t="str">
        <x:v>Creating Dynamic Device Model Groups in Entra with PowerShell</x:v>
      </x:c>
      <x:c r="C10" s="24" t="str">
        <x:v>2026-05-12</x:v>
      </x:c>
      <x:c r="D10" s="24" t="str">
        <x:v>powershell, intune, entra-id, microsoft-graph, automation</x:v>
      </x:c>
      <x:c r="E10" s="24" t="str">
        <x:v>Yes</x:v>
      </x:c>
      <x:c r="F10" s="24" t="str">
        <x:v>A PowerShell walkthrough for creating OS-scoped dynamic Entra device groups based on Intune device models.</x:v>
      </x:c>
    </x:row>
    <x:row r="11" ht="24" hidden="0" customHeight="1">
      <x:c r="A11" s="24" t="str">
        <x:v>set-up-and-view-app-inventory-data-in-intune</x:v>
      </x:c>
      <x:c r="B11" s="24" t="str">
        <x:v>Set Up and View App Inventory Data in Intune</x:v>
      </x:c>
      <x:c r="C11" s="24" t="str">
        <x:v>2026-05-07</x:v>
      </x:c>
      <x:c r="D11" s="24" t="str">
        <x:v>intune, windows, device-management, application-inventory, tutorial</x:v>
      </x:c>
      <x:c r="E11" s="24" t="str">
        <x:v>No</x:v>
      </x:c>
      <x:c r="F11" s="24" t="str">
        <x:v>App inventory gives you richer Windows app data in Intune, but only after you turn it on with a Properties catalog policy.</x:v>
      </x:c>
    </x:row>
    <x:row r="12" ht="24" hidden="0" customHeight="1">
      <x:c r="A12" s="24" t="str">
        <x:v>ai-agents-changed-how-i-build-things</x:v>
      </x:c>
      <x:c r="B12" s="24" t="str">
        <x:v>AI Coding Agents Changed How I Build Things</x:v>
      </x:c>
      <x:c r="C12" s="24" t="str">
        <x:v>2026-05-05</x:v>
      </x:c>
      <x:c r="D12" s="24" t="str">
        <x:v>llm, ai, powershell, automation, github-copilot</x:v>
      </x:c>
      <x:c r="E12" s="24" t="str">
        <x:v>No</x:v>
      </x:c>
      <x:c r="F12" s="24" t="str">
        <x:v>I used to think LLMs were just fancy autocomplete. Then I started letting them live inside my repos. Here's what changed.</x:v>
      </x:c>
    </x:row>
    <x:row r="13" ht="15" hidden="0" customHeight="1">
      <x:c r="A13" s="24" t="str">
        <x:v>hello-world</x:v>
      </x:c>
      <x:c r="B13" s="24" t="str">
        <x:v>Hello, World</x:v>
      </x:c>
      <x:c r="C13" s="24" t="str">
        <x:v>2026-05-01</x:v>
      </x:c>
      <x:c r="D13" s="24" t="str"/>
      <x:c r="E13" s="24" t="str">
        <x:v>No</x:v>
      </x:c>
      <x:c r="F13" s="24" t="str">
        <x:v>Welcome to my new blog. Built with React, Vite, and MDX.</x:v>
      </x:c>
    </x:row>
    <x:row r="14" ht="24" hidden="0" customHeight="1">
      <x:c r="A14" s="24" t="str">
        <x:v>powershell-summit-2026-we-are-all-insane-and-that-is-the-opportunity</x:v>
      </x:c>
      <x:c r="B14" s="24" t="str">
        <x:v>PowerShell Summit 2026: We Are All Insane, and That Is the Opportunity</x:v>
      </x:c>
      <x:c r="C14" s="24" t="str">
        <x:v>2026-04-18</x:v>
      </x:c>
      <x:c r="D14" s="24" t="str">
        <x:v>powershell, ai, automation, career, conference</x:v>
      </x:c>
      <x:c r="E14" s="24" t="str">
        <x:v>No</x:v>
      </x:c>
      <x:c r="F14" s="24" t="str">
        <x:v>To quote Jeffrey Snover, "you are all insane." Not as an insult. As a diagnosis.</x:v>
      </x:c>
    </x:row>
    <x:row r="15" ht="24" hidden="0" customHeight="1">
      <x:c r="A15" s="24" t="str">
        <x:v>using-net-methods-in-powershell-with-practical-examples-youll-actually-reuse</x:v>
      </x:c>
      <x:c r="B15" s="24" t="str">
        <x:v>Using .NET Methods in PowerShell (with practical examples you'll actually reuse)</x:v>
      </x:c>
      <x:c r="C15" s="24" t="str">
        <x:v>2026-02-14</x:v>
      </x:c>
      <x:c r="D15" s="24" t="str">
        <x:v>powershell, dotnet, scripting, tutorial</x:v>
      </x:c>
      <x:c r="E15" s="24" t="str">
        <x:v>No</x:v>
      </x:c>
      <x:c r="F15" s="24" t="str">
        <x:v>PowerShell is already sitting on top of .NET. Here are the patterns I use most: strings, paths, file I/O, time, crypto, and more.</x:v>
      </x:c>
    </x:row>
    <x:row r="16" ht="24" hidden="0" customHeight="1">
      <x:c r="A16" s="24" t="str">
        <x:v>bootstrap-your-intune-tenant-in-a-single-command</x:v>
      </x:c>
      <x:c r="B16" s="24" t="str">
        <x:v>Bootstrap Your Intune Tenant in a Single Command</x:v>
      </x:c>
      <x:c r="C16" s="24" t="str">
        <x:v>2025-12-28</x:v>
      </x:c>
      <x:c r="D16" s="24" t="str">
        <x:v>powershell, intune, automation, microsoft-graph, devops</x:v>
      </x:c>
      <x:c r="E16" s="24" t="str">
        <x:v>No</x:v>
      </x:c>
      <x:c r="F16" s="24" t="str">
        <x:v>Turn a fresh Intune tenant into a best-practice baseline without babysitting the portal using the Intune Hydration Kit PowerShell module.</x:v>
      </x:c>
    </x:row>
    <x:row r="17" ht="24" hidden="0" customHeight="1">
      <x:c r="A17" s="24" t="str">
        <x:v>finding-wmi-usage-before-microsoft-finds-it-for-you</x:v>
      </x:c>
      <x:c r="B17" s="24" t="str">
        <x:v>Finding WMI Usage Before Microsoft Finds It For You</x:v>
      </x:c>
      <x:c r="C17" s="24" t="str">
        <x:v>2025-10-12</x:v>
      </x:c>
      <x:c r="D17" s="24" t="str">
        <x:v>powershell, wmi, cim, windows, scripting</x:v>
      </x:c>
      <x:c r="E17" s="24" t="str">
        <x:v>No</x:v>
      </x:c>
      <x:c r="F17" s="24" t="str">
        <x:v>Microsoft is deprecating WMIC and legacy WMI cmdlets. Find every instance in your codebase before your scripts start breaking in production.</x:v>
      </x:c>
    </x:row>
    <x:row r="18" ht="24" hidden="0" customHeight="1">
      <x:c r="A18" s="24" t="str">
        <x:v>winget-without-winget-building-a-cross-platform-package-manifest-fetcher</x:v>
      </x:c>
      <x:c r="B18" s="24" t="str">
        <x:v>WinGet Without WinGet: Building a Cross-Platform Package Manifest Fetcher</x:v>
      </x:c>
      <x:c r="C18" s="24" t="str">
        <x:v>2025-07-20</x:v>
      </x:c>
      <x:c r="D18" s="24" t="str">
        <x:v>powershell, winget, cross-platform, github-api, devops</x:v>
      </x:c>
      <x:c r="E18" s="24" t="str">
        <x:v>No</x:v>
      </x:c>
      <x:c r="F18" s="24" t="str">
        <x:v>Query WinGet packages from macOS or Linux by hitting the winget-pkgs GitHub repo directly - no WinGet client required.</x:v>
      </x:c>
    </x:row>
    <x:row r="19" ht="24" hidden="0" customHeight="1">
      <x:c r="A19" s="24" t="str">
        <x:v>supercharge-microsoft-graph-api-data-retrieval-with-powershell-batch-requests</x:v>
      </x:c>
      <x:c r="B19" s="24" t="str">
        <x:v>Supercharge Microsoft Graph API Data Retrieval with PowerShell Batch Requests</x:v>
      </x:c>
      <x:c r="C19" s="24" t="str">
        <x:v>2025-07-15</x:v>
      </x:c>
      <x:c r="D19" s="24" t="str">
        <x:v>powershell, microsoft-graph, performance, api, automation</x:v>
      </x:c>
      <x:c r="E19" s="24" t="str">
        <x:v>No</x:v>
      </x:c>
      <x:c r="F19" s="24" t="str">
        <x:v>Reduce Graph API data export times by up to 88% using batch requests and parallel processing. Real production metrics included.</x:v>
      </x:c>
    </x:row>
    <x:row r="20" ht="24" hidden="0" customHeight="1">
      <x:c r="A20" s="24" t="str">
        <x:v>are-you-even-good-enough-to-have-imposter-syndrome</x:v>
      </x:c>
      <x:c r="B20" s="24" t="str">
        <x:v>Are You Even Good Enough to Have Imposter Syndrome?</x:v>
      </x:c>
      <x:c r="C20" s="24" t="str">
        <x:v>2025-04-18</x:v>
      </x:c>
      <x:c r="D20" s="24" t="str">
        <x:v>career, growth, mental-health, engineering</x:v>
      </x:c>
      <x:c r="E20" s="24" t="str">
        <x:v>No</x:v>
      </x:c>
      <x:c r="F20" s="24" t="str">
        <x:v>Imposter syndrome doesn't go away. If anything, it scales with you. Here's how to use it as fuel rather than fear.</x:v>
      </x:c>
    </x:row>
    <x:row r="21" ht="24" hidden="0" customHeight="1">
      <x:c r="A21" s="24" t="str">
        <x:v>back-up-or-restore-jamf-pro-objects-with-powershell</x:v>
      </x:c>
      <x:c r="B21" s="24" t="str">
        <x:v>Back Up or Restore Jamf Pro Objects with PowerShell</x:v>
      </x:c>
      <x:c r="C21" s="24" t="str">
        <x:v>2025-03-23</x:v>
      </x:c>
      <x:c r="D21" s="24" t="str">
        <x:v>powershell, jamf, mdm, backup, automation</x:v>
      </x:c>
      <x:c r="E21" s="24" t="str">
        <x:v>No</x:v>
      </x:c>
      <x:c r="F21" s="24" t="str">
        <x:v>A PowerShell tool for backing up and restoring Jamf Pro configurations with selective exports, OAuth support, and organized backups.</x:v>
      </x:c>
    </x:row>
    <x:row r="22" ht="24" hidden="0" customHeight="1">
      <x:c r="A22" s="24" t="str">
        <x:v>synchronizing-device-groups-with-entra-user-groups-using-powershell</x:v>
      </x:c>
      <x:c r="B22" s="24" t="str">
        <x:v>Synchronizing Device Groups with Entra User Groups Using PowerShell</x:v>
      </x:c>
      <x:c r="C22" s="24" t="str">
        <x:v>2025-02-03</x:v>
      </x:c>
      <x:c r="D22" s="24" t="str">
        <x:v>powershell, intune, entra-id, microsoft-graph, automation</x:v>
      </x:c>
      <x:c r="E22" s="24" t="str">
        <x:v>No</x:v>
      </x:c>
      <x:c r="F22" s="24" t="str">
        <x:v>Given a list of usernames, automatically find their Intune-managed devices and sync them to a device group using parallel Graph API calls.</x:v>
      </x:c>
    </x:row>
    <x:row r="23" ht="24" hidden="0" customHeight="1">
      <x:c r="A23" s="24" t="str">
        <x:v>syncing-abm-and-vpp-tokens-with-intune-a-powershell-script-for-the-lazy-admin</x:v>
      </x:c>
      <x:c r="B23" s="24" t="str">
        <x:v>Syncing ABM and VPP Tokens with Intune: A PowerShell Script for the Lazy Admin</x:v>
      </x:c>
      <x:c r="C23" s="24" t="str">
        <x:v>2024-08-31</x:v>
      </x:c>
      <x:c r="D23" s="24" t="str">
        <x:v>powershell, intune, apple, abm, automation</x:v>
      </x:c>
      <x:c r="E23" s="24" t="str">
        <x:v>No</x:v>
      </x:c>
      <x:c r="F23" s="24" t="str">
        <x:v>Automate the manual process of syncing Apple Business Manager and Volume Purchase Program tokens in Microsoft Intune with PowerShell.</x:v>
      </x:c>
    </x:row>
    <x:row r="24" ht="24" hidden="0" customHeight="1">
      <x:c r="A24" s="24" t="str">
        <x:v>automating-device-management-with-powershell-function-invoke-appinstalleddevicesgroup</x:v>
      </x:c>
      <x:c r="B24" s="24" t="str">
        <x:v>Automating Device Management with PowerShell: Function Invoke-AppInstalledDevicesGroup</x:v>
      </x:c>
      <x:c r="C24" s="24" t="str">
        <x:v>2024-03-03</x:v>
      </x:c>
      <x:c r="D24" s="24" t="str">
        <x:v>powershell, intune, automation, microsoft-graph, scripting</x:v>
      </x:c>
      <x:c r="E24" s="24" t="str">
        <x:v>No</x:v>
      </x:c>
      <x:c r="F24" s="24" t="str">
        <x:v>Build a device group in Intune based on detected application installs - automatically add and remove devices as software appears and disappears.</x:v>
      </x:c>
    </x:row>
    <x:row r="25" ht="24" hidden="0" customHeight="1">
      <x:c r="A25" s="24" t="str">
        <x:v>intune-device-queries-to-level-up-your-device-management</x:v>
      </x:c>
      <x:c r="B25" s="24" t="str">
        <x:v>20+ Intune Device Queries to Level Up Your Device Management</x:v>
      </x:c>
      <x:c r="C25" s="24" t="str">
        <x:v>2024-02-19</x:v>
      </x:c>
      <x:c r="D25" s="24" t="str">
        <x:v>intune, kql, device-management, windows, microsoft</x:v>
      </x:c>
      <x:c r="E25" s="24" t="str">
        <x:v>No</x:v>
      </x:c>
      <x:c r="F25" s="24" t="str">
        <x:v>Leverage Kusto Query Language with Intune Device Query to gain deep insights into your device fleet, from BIOS info to installed applications.</x:v>
      </x:c>
    </x:row>
    <x:row r="26" ht="24" hidden="0" customHeight="1">
      <x:c r="A26" s="24" t="str">
        <x:v>streamlining-application-detection-in-intune-and-mecm-with-powershell</x:v>
      </x:c>
      <x:c r="B26" s="24" t="str">
        <x:v>Streamlining Application Detection in Intune and MECM with PowerShell</x:v>
      </x:c>
      <x:c r="C26" s="24" t="str">
        <x:v>2024-01-05</x:v>
      </x:c>
      <x:c r="D26" s="24" t="str">
        <x:v>powershell, intune, mecm, application-detection, scripting</x:v>
      </x:c>
      <x:c r="E26" s="24" t="str">
        <x:v>No</x:v>
      </x:c>
      <x:c r="F26" s="24" t="str">
        <x:v>A PowerShell function for precise application detection across 32-bit, 64-bit, and user-context installs - perfect for Intune Win32 app detection.</x:v>
      </x:c>
    </x:row>
    <x:row r="27" ht="24" hidden="0" customHeight="1">
      <x:c r="A27" s="24" t="str">
        <x:v>top-20-graph-api-cmdlets</x:v>
      </x:c>
      <x:c r="B27" s="24" t="str">
        <x:v>Top 20 Graph API Cmdlets</x:v>
      </x:c>
      <x:c r="C27" s="24" t="str">
        <x:v>2023-07-31</x:v>
      </x:c>
      <x:c r="D27" s="24" t="str">
        <x:v>powershell, microsoft-graph, microsoft-365, automation, tutorial</x:v>
      </x:c>
      <x:c r="E27" s="24" t="str">
        <x:v>No</x:v>
      </x:c>
      <x:c r="F27" s="24" t="str">
        <x:v>A practical tour of the 20 most useful Microsoft Graph PowerShell cmdlets for managing users, groups, devices, apps, and more in Microsoft 365.</x:v>
      </x:c>
    </x:row>
    <x:row r="28" ht="24" hidden="0" customHeight="1">
      <x:c r="A28" s="24" t="str">
        <x:v>using-filters-to-assign-apps-policies-and-profiles-in-microsoft-intune</x:v>
      </x:c>
      <x:c r="B28" s="24" t="str">
        <x:v>Using Filters to Assign Apps, Policies, and Profiles in Microsoft Intune</x:v>
      </x:c>
      <x:c r="C28" s="24" t="str">
        <x:v>2023-05-14</x:v>
      </x:c>
      <x:c r="D28" s="24" t="str">
        <x:v>intune, device-management, microsoft, tutorial</x:v>
      </x:c>
      <x:c r="E28" s="24" t="str">
        <x:v>No</x:v>
      </x:c>
      <x:c r="F28" s="24" t="str">
        <x:v>A comprehensive guide to using Intune device filters to dynamically target devices based on properties like manufacturer, model, and OS version.</x:v>
      </x:c>
    </x:row>
    <x:row r="29" ht="24" hidden="0" customHeight="1">
      <x:c r="A29" s="24" t="str">
        <x:v>proactive-remediation-to-remind-windows-users-to-reboot</x:v>
      </x:c>
      <x:c r="B29" s="24" t="str">
        <x:v>Proactive Remediation to Remind Windows Users to Reboot</x:v>
      </x:c>
      <x:c r="C29" s="24" t="str">
        <x:v>2023-05-07</x:v>
      </x:c>
      <x:c r="D29" s="24" t="str">
        <x:v>intune, powershell, proactive-remediation, windows</x:v>
      </x:c>
      <x:c r="E29" s="24" t="str">
        <x:v>No</x:v>
      </x:c>
      <x:c r="F29" s="24" t="str">
        <x:v>Use Intune Proactive Remediations to detect Windows devices that haven't rebooted in 7+ days and display a customizable toast notification reminder.</x:v>
      </x:c>
    </x:row>
    <x:row r="30" ht="24" hidden="0" customHeight="1">
      <x:c r="A30" s="25" t="str">
        <x:v>find-registry-uninstall-keys-with-powershell</x:v>
      </x:c>
      <x:c r="B30" s="25" t="str">
        <x:v>Find Registry Uninstall Keys with PowerShell</x:v>
      </x:c>
      <x:c r="C30" s="25" t="str">
        <x:v>2023-05-07</x:v>
      </x:c>
      <x:c r="D30" s="25" t="str">
        <x:v>powershell, windows, registry, scripting, uninstall</x:v>
      </x:c>
      <x:c r="E30" s="25" t="str">
        <x:v>No</x:v>
      </x:c>
      <x:c r="F30" s="25" t="str">
        <x:v>A PowerShell function to search the Windows registry for uninstall keys matching a specified string, with support for 64-bit and 32-bit applications.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9e2e805c36f4d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52" hidden="0" customWidth="1"/>
    <x:col min="5" max="5" width="18" hidden="0" customWidth="1"/>
    <x:col min="6" max="6" width="34" hidden="0" customWidth="1"/>
    <x:col min="7" max="7" width="62" hidden="0" customWidth="1"/>
  </x:cols>
  <x:sheetData>
    <x:row r="1" ht="19.200000762939453" hidden="0" customHeight="1">
      <x:c r="A1" s="4" t="str">
        <x:v>Project Catalog</x:v>
      </x:c>
      <x:c r="B1" s="4" t="str">
        <x:v>Project Catalog</x:v>
      </x:c>
      <x:c r="C1" s="4" t="str">
        <x:v>Project Catalog</x:v>
      </x:c>
      <x:c r="D1" s="4" t="str">
        <x:v>Project Catalog</x:v>
      </x:c>
      <x:c r="E1" s="4" t="str">
        <x:v>Project Catalog</x:v>
      </x:c>
      <x:c r="F1" s="4" t="str">
        <x:v>Project Catalog</x:v>
      </x:c>
      <x:c r="G1" s="4" t="str">
        <x:v>Project Catalog</x:v>
      </x:c>
    </x:row>
    <x:row r="2" ht="15" hidden="0" customHeight="1">
      <x:c r="A2" s="9" t="str">
        <x:v>Project cards parsed from src/pages/Projects.tsx for later link, card-count, and CTA tests.</x:v>
      </x:c>
      <x:c r="B2" s="9" t="str">
        <x:v>Project cards parsed from src/pages/Projects.tsx for later link, card-count, and CTA tests.</x:v>
      </x:c>
      <x:c r="C2" s="9" t="str">
        <x:v>Project cards parsed from src/pages/Projects.tsx for later link, card-count, and CTA tests.</x:v>
      </x:c>
      <x:c r="D2" s="9" t="str">
        <x:v>Project cards parsed from src/pages/Projects.tsx for later link, card-count, and CTA tests.</x:v>
      </x:c>
      <x:c r="E2" s="9" t="str">
        <x:v>Project cards parsed from src/pages/Projects.tsx for later link, card-count, and CTA tests.</x:v>
      </x:c>
      <x:c r="F2" s="9" t="str">
        <x:v>Project cards parsed from src/pages/Projects.tsx for later link, card-count, and CTA tests.</x:v>
      </x:c>
      <x:c r="G2" s="9" t="str">
        <x:v>Project cards parsed from src/pages/Projects.tsx for later link, card-count, and CTA tests.</x:v>
      </x:c>
    </x:row>
    <x:row r="3"/>
    <x:row r="4" ht="15" hidden="0" customHeight="1">
      <x:c r="A4" s="14" t="str">
        <x:v>Section</x:v>
      </x:c>
      <x:c r="B4" s="14" t="str">
        <x:v>Name</x:v>
      </x:c>
      <x:c r="C4" s="14" t="str">
        <x:v>Kind</x:v>
      </x:c>
      <x:c r="D4" s="14" t="str">
        <x:v>Href</x:v>
      </x:c>
      <x:c r="E4" s="14" t="str">
        <x:v>CTA</x:v>
      </x:c>
      <x:c r="F4" s="14" t="str">
        <x:v>Tags</x:v>
      </x:c>
      <x:c r="G4" s="14" t="str">
        <x:v>Description</x:v>
      </x:c>
    </x:row>
    <x:row r="5" ht="24" hidden="0" customHeight="1">
      <x:c r="A5" s="23" t="str">
        <x:v>Live projects</x:v>
      </x:c>
      <x:c r="B5" s="23" t="str">
        <x:v>Intune Hydration Kit</x:v>
      </x:c>
      <x:c r="C5" s="23" t="str">
        <x:v>Product</x:v>
      </x:c>
      <x:c r="D5" s="23" t="str">
        <x:v>https://www.intunehydrationkit.com/</x:v>
      </x:c>
      <x:c r="E5" s="23" t="str">
        <x:v>Visit site</x:v>
      </x:c>
      <x:c r="F5" s="23" t="str">
        <x:v>Intune, Graph, Automation</x:v>
      </x:c>
      <x:c r="G5" s="23" t="str">
        <x:v>Bootstrap Microsoft Intune tenants with baseline policies, compliance, Conditional Access, Microsoft Graph deployment, previews, and safety checks.</x:v>
      </x:c>
    </x:row>
    <x:row r="6" ht="24" hidden="0" customHeight="1">
      <x:c r="A6" s="24" t="str">
        <x:v>Live projects</x:v>
      </x:c>
      <x:c r="B6" s="24" t="str">
        <x:v>Endpoint Jobs</x:v>
      </x:c>
      <x:c r="C6" s="24" t="str">
        <x:v>Job board</x:v>
      </x:c>
      <x:c r="D6" s="24" t="str">
        <x:v>https://endpointjobs.dev/</x:v>
      </x:c>
      <x:c r="E6" s="24" t="str">
        <x:v>Visit site</x:v>
      </x:c>
      <x:c r="F6" s="24" t="str">
        <x:v>Endpoint, Careers, MDM</x:v>
      </x:c>
      <x:c r="G6" s="24" t="str">
        <x:v>Focused job board for endpoint engineering, MDM, UEM, client platform, and endpoint security roles.</x:v>
      </x:c>
    </x:row>
    <x:row r="7" ht="24" hidden="0" customHeight="1">
      <x:c r="A7" s="24" t="str">
        <x:v>Live projects</x:v>
      </x:c>
      <x:c r="B7" s="24" t="str">
        <x:v>Graph Explorer Plus</x:v>
      </x:c>
      <x:c r="C7" s="24" t="str">
        <x:v>Graph app</x:v>
      </x:c>
      <x:c r="D7" s="24" t="str">
        <x:v>https://graphexplorerpl.us/</x:v>
      </x:c>
      <x:c r="E7" s="24" t="str">
        <x:v>Visit site</x:v>
      </x:c>
      <x:c r="F7" s="24" t="str">
        <x:v>TypeScript, Graph, Next.js</x:v>
      </x:c>
      <x:c r="G7" s="24" t="str">
        <x:v>Power-user Microsoft Graph explorer with curated samples, resource browsing, code snippets, and sovereign cloud support.</x:v>
      </x:c>
    </x:row>
    <x:row r="8" ht="24" hidden="0" customHeight="1">
      <x:c r="A8" s="24" t="str">
        <x:v>Live projects</x:v>
      </x:c>
      <x:c r="B8" s="24" t="str">
        <x:v>Tenant Graph</x:v>
      </x:c>
      <x:c r="C8" s="24" t="str">
        <x:v>Tenant map</x:v>
      </x:c>
      <x:c r="D8" s="24" t="str">
        <x:v>https://tenantgraph.com/</x:v>
      </x:c>
      <x:c r="E8" s="24" t="str">
        <x:v>Visit site</x:v>
      </x:c>
      <x:c r="F8" s="24" t="str">
        <x:v>Intune, Entra, Graph</x:v>
      </x:c>
      <x:c r="G8" s="24" t="str">
        <x:v>Visualizes Microsoft Intune and Entra relationships across users, devices, groups, apps, policies, and Conditional Access.</x:v>
      </x:c>
    </x:row>
    <x:row r="9" ht="24" hidden="0" customHeight="1">
      <x:c r="A9" s="24" t="str">
        <x:v>Live projects</x:v>
      </x:c>
      <x:c r="B9" s="24" t="str">
        <x:v>NukeTune</x:v>
      </x:c>
      <x:c r="C9" s="24" t="str">
        <x:v>Tenant reset</x:v>
      </x:c>
      <x:c r="D9" s="24" t="str">
        <x:v>https://nuketune.com/</x:v>
      </x:c>
      <x:c r="E9" s="24" t="str">
        <x:v>Visit site</x:v>
      </x:c>
      <x:c r="F9" s="24" t="str">
        <x:v>TypeScript, Intune, Graph</x:v>
      </x:c>
      <x:c r="G9" s="24" t="str">
        <x:v>Bulk deletion tool for resetting Intune environments across devices, apps, policies, and configurations.</x:v>
      </x:c>
    </x:row>
    <x:row r="10" ht="24" hidden="0" customHeight="1">
      <x:c r="A10" s="24" t="str">
        <x:v>Live projects</x:v>
      </x:c>
      <x:c r="B10" s="24" t="str">
        <x:v>Intune Gazette</x:v>
      </x:c>
      <x:c r="C10" s="24" t="str">
        <x:v>Docs tracker</x:v>
      </x:c>
      <x:c r="D10" s="24" t="str">
        <x:v>https://jorgeasaurus.github.io/IntuneDocsAutomation/</x:v>
      </x:c>
      <x:c r="E10" s="24" t="str">
        <x:v>Visit site</x:v>
      </x:c>
      <x:c r="F10" s="24" t="str">
        <x:v>Intune, Docs, GitHub Actions</x:v>
      </x:c>
      <x:c r="G10" s="24" t="str">
        <x:v>Static newspaper-style dashboard that tracks Microsoft Intune documentation updates from Microsoft Learn.</x:v>
      </x:c>
    </x:row>
    <x:row r="11" ht="15" hidden="0" customHeight="1">
      <x:c r="A11" s="24" t="str">
        <x:v>Repos and experiments</x:v>
      </x:c>
      <x:c r="B11" s="24" t="str">
        <x:v>InTUI</x:v>
      </x:c>
      <x:c r="C11" s="24" t="str">
        <x:v>Terminal UI</x:v>
      </x:c>
      <x:c r="D11" s="24" t="str">
        <x:v>https://github.com/jorgeasaurus/InTUI</x:v>
      </x:c>
      <x:c r="E11" s="24" t="str">
        <x:v>View repository</x:v>
      </x:c>
      <x:c r="F11" s="24" t="str">
        <x:v>PowerShell, Intune, TUI</x:v>
      </x:c>
      <x:c r="G11" s="24" t="str">
        <x:v>PowerShell terminal interface for managing Microsoft Intune through Microsoft Graph.</x:v>
      </x:c>
    </x:row>
    <x:row r="12" ht="24" hidden="0" customHeight="1">
      <x:c r="A12" s="24" t="str">
        <x:v>Repos and experiments</x:v>
      </x:c>
      <x:c r="B12" s="24" t="str">
        <x:v>Win32Forge</x:v>
      </x:c>
      <x:c r="C12" s="24" t="str">
        <x:v>Packaging</x:v>
      </x:c>
      <x:c r="D12" s="24" t="str">
        <x:v>https://jorgeasaurus.github.io/Win32Forge/</x:v>
      </x:c>
      <x:c r="E12" s="24" t="str">
        <x:v>Visit site</x:v>
      </x:c>
      <x:c r="F12" s="24" t="str">
        <x:v>PowerShell, Intune, Win32</x:v>
      </x:c>
      <x:c r="G12" s="24" t="str">
        <x:v>Package, publish, and deploy Intune Win32 apps with repeatable metadata and Graph upload workflows.</x:v>
      </x:c>
    </x:row>
    <x:row r="13" ht="24" hidden="0" customHeight="1">
      <x:c r="A13" s="24" t="str">
        <x:v>Repos and experiments</x:v>
      </x:c>
      <x:c r="B13" s="24" t="str">
        <x:v>MgGraphIndex</x:v>
      </x:c>
      <x:c r="C13" s="24" t="str">
        <x:v>Reference</x:v>
      </x:c>
      <x:c r="D13" s="24" t="str">
        <x:v>https://jorgeasaurus.github.io/MgGraphIndex/</x:v>
      </x:c>
      <x:c r="E13" s="24" t="str">
        <x:v>Visit site</x:v>
      </x:c>
      <x:c r="F13" s="24" t="str">
        <x:v>Graph, PowerShell, Reference</x:v>
      </x:c>
      <x:c r="G13" s="24" t="str">
        <x:v>Searchable static index for Microsoft Graph PowerShell cmdlets, refreshed by GitHub Actions.</x:v>
      </x:c>
    </x:row>
    <x:row r="14" ht="24" hidden="0" customHeight="1">
      <x:c r="A14" s="24" t="str">
        <x:v>Repos and experiments</x:v>
      </x:c>
      <x:c r="B14" s="24" t="str">
        <x:v>PSModuleBrowser</x:v>
      </x:c>
      <x:c r="C14" s="24" t="str">
        <x:v>Terminal UI</x:v>
      </x:c>
      <x:c r="D14" s="24" t="str">
        <x:v>https://github.com/jorgeasaurus/PSModuleBrowser</x:v>
      </x:c>
      <x:c r="E14" s="24" t="str">
        <x:v>View repository</x:v>
      </x:c>
      <x:c r="F14" s="24" t="str">
        <x:v>PowerShell, Gallery, TUI</x:v>
      </x:c>
      <x:c r="G14" s="24" t="str">
        <x:v>Keyboard-driven terminal interface for searching, inspecting, and installing PowerShell Gallery modules.</x:v>
      </x:c>
    </x:row>
    <x:row r="15" ht="24" hidden="0" customHeight="1">
      <x:c r="A15" s="24" t="str">
        <x:v>Repos and experiments</x:v>
      </x:c>
      <x:c r="B15" s="24" t="str">
        <x:v>WinGet-Manifest-Fetcher</x:v>
      </x:c>
      <x:c r="C15" s="24" t="str">
        <x:v>Module</x:v>
      </x:c>
      <x:c r="D15" s="24" t="str">
        <x:v>https://github.com/jorgeasaurus/WinGet-Manifest-Fetcher</x:v>
      </x:c>
      <x:c r="E15" s="24" t="str">
        <x:v>View repository</x:v>
      </x:c>
      <x:c r="F15" s="24" t="str">
        <x:v>PowerShell, WinGet, Packaging</x:v>
      </x:c>
      <x:c r="G15" s="24" t="str">
        <x:v>PowerShell module for reading installer details from WinGet manifests without requiring the WinGet client.</x:v>
      </x:c>
    </x:row>
    <x:row r="16" ht="15" hidden="0" customHeight="1">
      <x:c r="A16" s="24" t="str">
        <x:v>Repos and experiments</x:v>
      </x:c>
      <x:c r="B16" s="24" t="str">
        <x:v>FleetDM-PowerShell</x:v>
      </x:c>
      <x:c r="C16" s="24" t="str">
        <x:v>API wrapper</x:v>
      </x:c>
      <x:c r="D16" s="24" t="str">
        <x:v>https://github.com/jorgeasaurus/FleetDM-PowerShell</x:v>
      </x:c>
      <x:c r="E16" s="24" t="str">
        <x:v>View repository</x:v>
      </x:c>
      <x:c r="F16" s="24" t="str">
        <x:v>PowerShell, FleetDM, API</x:v>
      </x:c>
      <x:c r="G16" s="24" t="str">
        <x:v>PowerShell wrapper module for the FleetDM API.</x:v>
      </x:c>
    </x:row>
    <x:row r="17" ht="15" hidden="0" customHeight="1">
      <x:c r="A17" s="24" t="str">
        <x:v>Repos and experiments</x:v>
      </x:c>
      <x:c r="B17" s="24" t="str">
        <x:v>WinStoreRip</x:v>
      </x:c>
      <x:c r="C17" s="24" t="str">
        <x:v>CLI</x:v>
      </x:c>
      <x:c r="D17" s="24" t="str">
        <x:v>https://github.com/jorgeasaurus/WinStoreRip</x:v>
      </x:c>
      <x:c r="E17" s="24" t="str">
        <x:v>View repository</x:v>
      </x:c>
      <x:c r="F17" s="24" t="str">
        <x:v>PowerShell, Windows Store, CLI</x:v>
      </x:c>
      <x:c r="G17" s="24" t="str">
        <x:v>Command-line tool for querying and downloading Windows Store app packages.</x:v>
      </x:c>
    </x:row>
    <x:row r="18" ht="24" hidden="0" customHeight="1">
      <x:c r="A18" s="24" t="str">
        <x:v>Repos and experiments</x:v>
      </x:c>
      <x:c r="B18" s="24" t="str">
        <x:v>PSRedditTUI</x:v>
      </x:c>
      <x:c r="C18" s="24" t="str">
        <x:v>Terminal UI</x:v>
      </x:c>
      <x:c r="D18" s="24" t="str">
        <x:v>https://github.com/jorgeasaurus/PSRedditTUI</x:v>
      </x:c>
      <x:c r="E18" s="24" t="str">
        <x:v>View repository</x:v>
      </x:c>
      <x:c r="F18" s="24" t="str">
        <x:v>PowerShell, Reddit, TUI</x:v>
      </x:c>
      <x:c r="G18" s="24" t="str">
        <x:v>PowerShell terminal interface for browsing Reddit, favorites, and subreddit data through JSON endpoints.</x:v>
      </x:c>
    </x:row>
    <x:row r="19" ht="15" hidden="0" customHeight="1">
      <x:c r="A19" s="24" t="str">
        <x:v>Repos and experiments</x:v>
      </x:c>
      <x:c r="B19" s="24" t="str">
        <x:v>JamfAssignmentChecker</x:v>
      </x:c>
      <x:c r="C19" s="24" t="str">
        <x:v>Audit tool</x:v>
      </x:c>
      <x:c r="D19" s="24" t="str">
        <x:v>https://github.com/jorgeasaurus/JamfAssignmentChecker</x:v>
      </x:c>
      <x:c r="E19" s="24" t="str">
        <x:v>View repository</x:v>
      </x:c>
      <x:c r="F19" s="24" t="str">
        <x:v>PowerShell, Jamf, Audit</x:v>
      </x:c>
      <x:c r="G19" s="24" t="str">
        <x:v>Checks Jamf Pro assignments across computers, users, and groups.</x:v>
      </x:c>
    </x:row>
    <x:row r="20" ht="24" hidden="0" customHeight="1">
      <x:c r="A20" s="24" t="str">
        <x:v>Repos and experiments</x:v>
      </x:c>
      <x:c r="B20" s="24" t="str">
        <x:v>Intune-Snapshot-Recovery</x:v>
      </x:c>
      <x:c r="C20" s="24" t="str">
        <x:v>Recovery</x:v>
      </x:c>
      <x:c r="D20" s="24" t="str">
        <x:v>https://github.com/jorgeasaurus/Intune-Snapshot-Recovery</x:v>
      </x:c>
      <x:c r="E20" s="24" t="str">
        <x:v>View repository</x:v>
      </x:c>
      <x:c r="F20" s="24" t="str">
        <x:v>PowerShell, Intune, Backup</x:v>
      </x:c>
      <x:c r="G20" s="24" t="str">
        <x:v>PowerShell and GitHub Actions toolkit for backing up and restoring Intune tenant configuration.</x:v>
      </x:c>
    </x:row>
    <x:row r="21" ht="15" hidden="0" customHeight="1">
      <x:c r="A21" s="24" t="str">
        <x:v>Repos and experiments</x:v>
      </x:c>
      <x:c r="B21" s="24" t="str">
        <x:v>PsJamfBackupRestore</x:v>
      </x:c>
      <x:c r="C21" s="24" t="str">
        <x:v>Recovery</x:v>
      </x:c>
      <x:c r="D21" s="24" t="str">
        <x:v>https://github.com/jorgeasaurus/PsJamfBackupRestore</x:v>
      </x:c>
      <x:c r="E21" s="24" t="str">
        <x:v>View repository</x:v>
      </x:c>
      <x:c r="F21" s="24" t="str">
        <x:v>PowerShell, Jamf, Backup</x:v>
      </x:c>
      <x:c r="G21" s="24" t="str">
        <x:v>PowerShell utility for backing up and restoring Jamf Pro configuration through the Jamf API.</x:v>
      </x:c>
    </x:row>
    <x:row r="22" ht="15" hidden="0" customHeight="1">
      <x:c r="A22" s="24" t="str">
        <x:v>Repos and experiments</x:v>
      </x:c>
      <x:c r="B22" s="24" t="str">
        <x:v>MgConsoleGuiGraphSearch</x:v>
      </x:c>
      <x:c r="C22" s="24" t="str">
        <x:v>Console GUI</x:v>
      </x:c>
      <x:c r="D22" s="24" t="str">
        <x:v>https://github.com/jorgeasaurus/MgConsoleGuiGraphSearch</x:v>
      </x:c>
      <x:c r="E22" s="24" t="str">
        <x:v>View repository</x:v>
      </x:c>
      <x:c r="F22" s="24" t="str">
        <x:v>PowerShell, Graph, Console</x:v>
      </x:c>
      <x:c r="G22" s="24" t="str">
        <x:v>Console GUI search for Microsoft Graph objects across Microsoft 365 and Entra.</x:v>
      </x:c>
    </x:row>
    <x:row r="23" ht="15" hidden="0" customHeight="1">
      <x:c r="A23" s="24" t="str">
        <x:v>Repos and experiments</x:v>
      </x:c>
      <x:c r="B23" s="24" t="str">
        <x:v>PSIntuneWinDetection</x:v>
      </x:c>
      <x:c r="C23" s="24" t="str">
        <x:v>Generator</x:v>
      </x:c>
      <x:c r="D23" s="24" t="str">
        <x:v>https://github.com/jorgeasaurus/PSIntuneWinDetection</x:v>
      </x:c>
      <x:c r="E23" s="24" t="str">
        <x:v>View repository</x:v>
      </x:c>
      <x:c r="F23" s="24" t="str">
        <x:v>PowerShell, Intune, Detection</x:v>
      </x:c>
      <x:c r="G23" s="24" t="str">
        <x:v>Reusable generator for PowerShell detection scripts used by Windows app deployments.</x:v>
      </x:c>
    </x:row>
    <x:row r="24" ht="15" hidden="0" customHeight="1">
      <x:c r="A24" s="25" t="str">
        <x:v>Repos and experiments</x:v>
      </x:c>
      <x:c r="B24" s="25" t="str">
        <x:v>PS-MDR</x:v>
      </x:c>
      <x:c r="C24" s="25" t="str">
        <x:v>Game</x:v>
      </x:c>
      <x:c r="D24" s="25" t="str">
        <x:v>https://github.com/jorgeasaurus/PS-MDR</x:v>
      </x:c>
      <x:c r="E24" s="25" t="str">
        <x:v>View repository</x:v>
      </x:c>
      <x:c r="F24" s="25" t="str">
        <x:v>PowerShell, Game, Console</x:v>
      </x:c>
      <x:c r="G24" s="25" t="str">
        <x:v>Console-based interactive game implemented in PowerShell around macro data refinement.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422d86dc909491b"/>
  </x:tableParts>
</x:worksheet>
</file>